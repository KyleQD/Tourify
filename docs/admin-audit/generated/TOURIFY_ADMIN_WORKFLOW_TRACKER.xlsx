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833b3c980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2b2d5e0ff124314"/>
    <x:sheet xmlns:r="http://schemas.openxmlformats.org/officeDocument/2006/relationships" name="Findings" sheetId="2" r:id="Rfd0f8515afd14d11"/>
    <x:sheet xmlns:r="http://schemas.openxmlformats.org/officeDocument/2006/relationships" name="Workflows" sheetId="3" r:id="R8f65a8ab37d6477a"/>
    <x:sheet xmlns:r="http://schemas.openxmlformats.org/officeDocument/2006/relationships" name="Spec Tasks" sheetId="4" r:id="Raad4d521bf204703"/>
    <x:sheet xmlns:r="http://schemas.openxmlformats.org/officeDocument/2006/relationships" name="Launch Gates" sheetId="5" r:id="R5e7a0f86f82e4c2f"/>
    <x:sheet xmlns:r="http://schemas.openxmlformats.org/officeDocument/2006/relationships" name="Risks" sheetId="6" r:id="R32ac8fcb8bf742da"/>
    <x:sheet xmlns:r="http://schemas.openxmlformats.org/officeDocument/2006/relationships" name="Evidence" sheetId="7" r:id="R31f802dd67934c0f"/>
    <x:sheet xmlns:r="http://schemas.openxmlformats.org/officeDocument/2006/relationships" name="Decisions" sheetId="8" r:id="Re1a21db8b00d4290"/>
    <x:sheet xmlns:r="http://schemas.openxmlformats.org/officeDocument/2006/relationships" name="Service Role Debt" sheetId="9" r:id="R4eac40c07f23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 hh:mm"/>
    <x:numFmt numFmtId="202" formatCode="yyyy-mm-dd"/>
  </x:numFmts>
  <x:fonts count="6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22"/>
      <x:color rgb="FFFFFFFF"/>
      <x:name val="Aptos Display"/>
    </x:font>
    <x:font>
      <x:i/>
      <x:sz val="10"/>
      <x:color rgb="FFCBD5E1"/>
      <x:name val="Aptos"/>
    </x:font>
    <x:font>
      <x:b/>
      <x:sz val="19"/>
      <x:color rgb="FF172033"/>
      <x:name val="Aptos Display"/>
    </x:font>
  </x:fonts>
  <x:fills count="1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7C3AED"/>
      </x:patternFill>
    </x:fill>
    <x:fill>
      <x:patternFill patternType="solid">
        <x:fgColor rgb="FFEDE9FE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B91C1C"/>
      </x:patternFill>
    </x:fill>
    <x:fill>
      <x:patternFill patternType="solid">
        <x:fgColor rgb="FFFEE2E2"/>
      </x:patternFill>
    </x:fill>
    <x:fill>
      <x:patternFill patternType="solid">
        <x:fgColor rgb="FFC2410C"/>
      </x:patternFill>
    </x:fill>
    <x:fill>
      <x:patternFill patternType="solid">
        <x:fgColor rgb="FFFFEDD5"/>
      </x:patternFill>
    </x:fill>
    <x:fill>
      <x:patternFill patternType="solid">
        <x:fgColor rgb="FF15803D"/>
      </x:patternFill>
    </x:fill>
    <x:fill>
      <x:patternFill patternType="solid">
        <x:fgColor rgb="FFDCFCE7"/>
      </x:patternFill>
    </x:fill>
    <x:fill>
      <x:patternFill patternType="solid">
        <x:fgColor rgb="FFB45309"/>
      </x:patternFill>
    </x:fill>
    <x:fill>
      <x:patternFill patternType="solid">
        <x:fgColor rgb="FFFEF3C7"/>
      </x:patternFill>
    </x:fill>
    <x:fill>
      <x:patternFill patternType="solid">
        <x:fgColor rgb="FF334155"/>
      </x:patternFill>
    </x:fill>
  </x:fills>
  <x:borders count="40">
    <x:border/>
    <x:border>
      <x:bottom style="double">
        <x:color rgb="FF2563EB"/>
      </x:bottom>
    </x:border>
    <x:border>
      <x:bottom style="thin">
        <x:color rgb="FFD8E0EA"/>
      </x:bottom>
    </x:border>
    <x:border>
      <x:top style="thin">
        <x:color rgb="FFD8E0EA"/>
      </x:top>
      <x:bottom style="thin">
        <x:color rgb="FFD8E0EA"/>
      </x:bottom>
    </x:border>
    <x:border>
      <x:left style="thin">
        <x:color rgb="FF7C3AED"/>
      </x:left>
      <x:top style="thin">
        <x:color rgb="FF7C3AED"/>
      </x:top>
      <x:bottom style="thin">
        <x:color rgb="FF7C3AED"/>
      </x:bottom>
    </x:border>
    <x:border>
      <x:right style="thin">
        <x:color rgb="FF7C3AED"/>
      </x:right>
      <x:top style="thin">
        <x:color rgb="FF7C3AED"/>
      </x:top>
      <x:bottom style="thin">
        <x:color rgb="FF7C3AED"/>
      </x:bottom>
    </x:border>
    <x:border>
      <x:left style="thin">
        <x:color rgb="FF7C3AED"/>
      </x:left>
      <x:top style="thin">
        <x:color rgb="FF7C3AED"/>
      </x:top>
    </x:border>
    <x:border>
      <x:right style="thin">
        <x:color rgb="FF7C3AED"/>
      </x:right>
      <x:top style="thin">
        <x:color rgb="FF7C3AED"/>
      </x:top>
    </x:border>
    <x:border>
      <x:left style="thin">
        <x:color rgb="FF7C3AED"/>
      </x:left>
      <x:bottom style="thin">
        <x:color rgb="FF7C3AED"/>
      </x:bottom>
    </x:border>
    <x:border>
      <x:right style="thin">
        <x:color rgb="FF7C3AED"/>
      </x:right>
      <x:bottom style="thin">
        <x:color rgb="FF7C3AED"/>
      </x:bottom>
    </x:border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  <x:border>
      <x:left style="thin">
        <x:color rgb="FF2563EB"/>
      </x:left>
      <x:top style="thin">
        <x:color rgb="FF2563EB"/>
      </x:top>
    </x:border>
    <x:border>
      <x:right style="thin">
        <x:color rgb="FF2563EB"/>
      </x:right>
      <x:top style="thin">
        <x:color rgb="FF2563EB"/>
      </x:top>
    </x:border>
    <x:border>
      <x:left style="thin">
        <x:color rgb="FF2563EB"/>
      </x:left>
      <x:bottom style="thin">
        <x:color rgb="FF2563EB"/>
      </x:bottom>
    </x:border>
    <x:border>
      <x:right style="thin">
        <x:color rgb="FF2563EB"/>
      </x:right>
      <x:bottom style="thin">
        <x:color rgb="FF2563EB"/>
      </x:bottom>
    </x:border>
    <x:border>
      <x:left style="thin">
        <x:color rgb="FFB91C1C"/>
      </x:left>
      <x:top style="thin">
        <x:color rgb="FFB91C1C"/>
      </x:top>
      <x:bottom style="thin">
        <x:color rgb="FFB91C1C"/>
      </x:bottom>
    </x:border>
    <x:border>
      <x:right style="thin">
        <x:color rgb="FFB91C1C"/>
      </x:right>
      <x:top style="thin">
        <x:color rgb="FFB91C1C"/>
      </x:top>
      <x:bottom style="thin">
        <x:color rgb="FFB91C1C"/>
      </x:bottom>
    </x:border>
    <x:border>
      <x:left style="thin">
        <x:color rgb="FFB91C1C"/>
      </x:left>
      <x:top style="thin">
        <x:color rgb="FFB91C1C"/>
      </x:top>
    </x:border>
    <x:border>
      <x:right style="thin">
        <x:color rgb="FFB91C1C"/>
      </x:right>
      <x:top style="thin">
        <x:color rgb="FFB91C1C"/>
      </x:top>
    </x:border>
    <x:border>
      <x:left style="thin">
        <x:color rgb="FFB91C1C"/>
      </x:left>
      <x:bottom style="thin">
        <x:color rgb="FFB91C1C"/>
      </x:bottom>
    </x:border>
    <x:border>
      <x:right style="thin">
        <x:color rgb="FFB91C1C"/>
      </x:right>
      <x:bottom style="thin">
        <x:color rgb="FFB91C1C"/>
      </x:bottom>
    </x:border>
    <x:border>
      <x:left style="thin">
        <x:color rgb="FFC2410C"/>
      </x:left>
      <x:top style="thin">
        <x:color rgb="FFC2410C"/>
      </x:top>
      <x:bottom style="thin">
        <x:color rgb="FFC2410C"/>
      </x:bottom>
    </x:border>
    <x:border>
      <x:right style="thin">
        <x:color rgb="FFC2410C"/>
      </x:right>
      <x:top style="thin">
        <x:color rgb="FFC2410C"/>
      </x:top>
      <x:bottom style="thin">
        <x:color rgb="FFC2410C"/>
      </x:bottom>
    </x:border>
    <x:border>
      <x:left style="thin">
        <x:color rgb="FFC2410C"/>
      </x:left>
      <x:top style="thin">
        <x:color rgb="FFC2410C"/>
      </x:top>
    </x:border>
    <x:border>
      <x:right style="thin">
        <x:color rgb="FFC2410C"/>
      </x:right>
      <x:top style="thin">
        <x:color rgb="FFC2410C"/>
      </x:top>
    </x:border>
    <x:border>
      <x:left style="thin">
        <x:color rgb="FFC2410C"/>
      </x:left>
      <x:bottom style="thin">
        <x:color rgb="FFC2410C"/>
      </x:bottom>
    </x:border>
    <x:border>
      <x:right style="thin">
        <x:color rgb="FFC2410C"/>
      </x:right>
      <x:bottom style="thin">
        <x:color rgb="FFC2410C"/>
      </x:bottom>
    </x:border>
    <x:border>
      <x:left style="thin">
        <x:color rgb="FF15803D"/>
      </x:left>
      <x:top style="thin">
        <x:color rgb="FF15803D"/>
      </x:top>
      <x:bottom style="thin">
        <x:color rgb="FF15803D"/>
      </x:bottom>
    </x:border>
    <x:border>
      <x:right style="thin">
        <x:color rgb="FF15803D"/>
      </x:right>
      <x:top style="thin">
        <x:color rgb="FF15803D"/>
      </x:top>
      <x:bottom style="thin">
        <x:color rgb="FF15803D"/>
      </x:bottom>
    </x:border>
    <x:border>
      <x:left style="thin">
        <x:color rgb="FF15803D"/>
      </x:left>
      <x:top style="thin">
        <x:color rgb="FF15803D"/>
      </x:top>
    </x:border>
    <x:border>
      <x:right style="thin">
        <x:color rgb="FF15803D"/>
      </x:right>
      <x:top style="thin">
        <x:color rgb="FF15803D"/>
      </x:top>
    </x:border>
    <x:border>
      <x:left style="thin">
        <x:color rgb="FF15803D"/>
      </x:left>
      <x:bottom style="thin">
        <x:color rgb="FF15803D"/>
      </x:bottom>
    </x:border>
    <x:border>
      <x:right style="thin">
        <x:color rgb="FF15803D"/>
      </x:right>
      <x:bottom style="thin">
        <x:color rgb="FF15803D"/>
      </x:bottom>
    </x:border>
    <x:border>
      <x:left style="thin">
        <x:color rgb="FFB45309"/>
      </x:left>
      <x:top style="thin">
        <x:color rgb="FFB45309"/>
      </x:top>
      <x:bottom style="thin">
        <x:color rgb="FFB45309"/>
      </x:bottom>
    </x:border>
    <x:border>
      <x:right style="thin">
        <x:color rgb="FFB45309"/>
      </x:right>
      <x:top style="thin">
        <x:color rgb="FFB45309"/>
      </x:top>
      <x:bottom style="thin">
        <x:color rgb="FFB45309"/>
      </x:bottom>
    </x:border>
    <x:border>
      <x:left style="thin">
        <x:color rgb="FFB45309"/>
      </x:left>
      <x:top style="thin">
        <x:color rgb="FFB45309"/>
      </x:top>
    </x:border>
    <x:border>
      <x:right style="thin">
        <x:color rgb="FFB45309"/>
      </x:right>
      <x:top style="thin">
        <x:color rgb="FFB45309"/>
      </x:top>
    </x:border>
    <x:border>
      <x:left style="thin">
        <x:color rgb="FFB45309"/>
      </x:left>
      <x:bottom style="thin">
        <x:color rgb="FFB45309"/>
      </x:bottom>
    </x:border>
    <x:border>
      <x:right style="thin">
        <x:color rgb="FFB45309"/>
      </x:right>
      <x:bottom style="thin">
        <x:color rgb="FFB45309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1" fontId="1" fillId="0" borderId="3" xfId="0" applyNumberFormat="1" applyFont="1" applyFill="1" applyBorder="1" applyAlignment="1">
      <x:alignment vertical="top" wrapText="1"/>
    </x:xf>
    <x:xf numFmtId="202" fontId="1" fillId="0" borderId="3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4" borderId="7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10" xfId="0" applyNumberFormat="1" applyFont="1" applyFill="1" applyBorder="1" applyAlignment="1">
      <x:alignment vertical="center"/>
    </x:xf>
    <x:xf numFmtId="0" fontId="2" fillId="5" borderId="11" xfId="0" applyNumberFormat="1" applyFont="1" applyFill="1" applyBorder="1" applyAlignment="1">
      <x:alignment vertical="center"/>
    </x:xf>
    <x:xf numFmtId="0" fontId="2" fillId="5" borderId="10" xfId="0" applyNumberFormat="1" applyFont="1" applyFill="1" applyBorder="1" applyAlignment="1">
      <x:alignment horizontal="center" vertical="center"/>
    </x:xf>
    <x:xf numFmtId="0" fontId="2" fillId="5" borderId="1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12" xfId="0" applyNumberFormat="1" applyFont="1" applyFill="1" applyBorder="1" applyAlignment="1">
      <x:alignment vertical="center"/>
    </x:xf>
    <x:xf numFmtId="0" fontId="5" fillId="6" borderId="13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center"/>
    </x:xf>
    <x:xf numFmtId="0" fontId="5" fillId="6" borderId="15" xfId="0" applyNumberFormat="1" applyFont="1" applyFill="1" applyBorder="1" applyAlignment="1">
      <x:alignment vertical="center"/>
    </x:xf>
    <x:xf numFmtId="0" fontId="5" fillId="6" borderId="12" xfId="0" applyNumberFormat="1" applyFont="1" applyFill="1" applyBorder="1" applyAlignment="1">
      <x:alignment horizontal="center" vertical="center"/>
    </x:xf>
    <x:xf numFmtId="0" fontId="5" fillId="6" borderId="13" xfId="0" applyNumberFormat="1" applyFont="1" applyFill="1" applyBorder="1" applyAlignment="1">
      <x:alignment horizontal="center" vertical="center"/>
    </x:xf>
    <x:xf numFmtId="0" fontId="5" fillId="6" borderId="14" xfId="0" applyNumberFormat="1" applyFont="1" applyFill="1" applyBorder="1" applyAlignment="1">
      <x:alignment horizontal="center" vertical="center"/>
    </x:xf>
    <x:xf numFmtId="0" fontId="5" fillId="6" borderId="15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2" fillId="7" borderId="16" xfId="0" applyNumberFormat="1" applyFont="1" applyFill="1" applyBorder="1" applyAlignment="1">
      <x:alignment vertical="center"/>
    </x:xf>
    <x:xf numFmtId="0" fontId="2" fillId="7" borderId="17" xfId="0" applyNumberFormat="1" applyFont="1" applyFill="1" applyBorder="1" applyAlignment="1">
      <x:alignment vertical="center"/>
    </x:xf>
    <x:xf numFmtId="0" fontId="2" fillId="7" borderId="16" xfId="0" applyNumberFormat="1" applyFont="1" applyFill="1" applyBorder="1" applyAlignment="1">
      <x:alignment horizontal="center" vertical="center"/>
    </x:xf>
    <x:xf numFmtId="0" fontId="2" fillId="7" borderId="17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18" xfId="0" applyNumberFormat="1" applyFont="1" applyFill="1" applyBorder="1" applyAlignment="1">
      <x:alignment vertical="center"/>
    </x:xf>
    <x:xf numFmtId="0" fontId="5" fillId="8" borderId="19" xfId="0" applyNumberFormat="1" applyFont="1" applyFill="1" applyBorder="1" applyAlignment="1">
      <x:alignment vertical="center"/>
    </x:xf>
    <x:xf numFmtId="0" fontId="5" fillId="8" borderId="20" xfId="0" applyNumberFormat="1" applyFont="1" applyFill="1" applyBorder="1" applyAlignment="1">
      <x:alignment vertical="center"/>
    </x:xf>
    <x:xf numFmtId="0" fontId="5" fillId="8" borderId="21" xfId="0" applyNumberFormat="1" applyFont="1" applyFill="1" applyBorder="1" applyAlignment="1">
      <x:alignment vertical="center"/>
    </x:xf>
    <x:xf numFmtId="0" fontId="5" fillId="8" borderId="18" xfId="0" applyNumberFormat="1" applyFont="1" applyFill="1" applyBorder="1" applyAlignment="1">
      <x:alignment horizontal="center" vertical="center"/>
    </x:xf>
    <x:xf numFmtId="0" fontId="5" fillId="8" borderId="19" xfId="0" applyNumberFormat="1" applyFont="1" applyFill="1" applyBorder="1" applyAlignment="1">
      <x:alignment horizontal="center" vertical="center"/>
    </x:xf>
    <x:xf numFmtId="0" fontId="5" fillId="8" borderId="20" xfId="0" applyNumberFormat="1" applyFont="1" applyFill="1" applyBorder="1" applyAlignment="1">
      <x:alignment horizontal="center" vertical="center"/>
    </x:xf>
    <x:xf numFmtId="0" fontId="5" fillId="8" borderId="21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/>
    </x:xf>
    <x:xf numFmtId="0" fontId="2" fillId="9" borderId="22" xfId="0" applyNumberFormat="1" applyFont="1" applyFill="1" applyBorder="1" applyAlignment="1">
      <x:alignment vertical="center"/>
    </x:xf>
    <x:xf numFmtId="0" fontId="2" fillId="9" borderId="23" xfId="0" applyNumberFormat="1" applyFont="1" applyFill="1" applyBorder="1" applyAlignment="1">
      <x:alignment vertical="center"/>
    </x:xf>
    <x:xf numFmtId="0" fontId="2" fillId="9" borderId="22" xfId="0" applyNumberFormat="1" applyFont="1" applyFill="1" applyBorder="1" applyAlignment="1">
      <x:alignment horizontal="center" vertical="center"/>
    </x:xf>
    <x:xf numFmtId="0" fontId="2" fillId="9" borderId="23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24" xfId="0" applyNumberFormat="1" applyFont="1" applyFill="1" applyBorder="1" applyAlignment="1">
      <x:alignment vertical="center"/>
    </x:xf>
    <x:xf numFmtId="0" fontId="5" fillId="10" borderId="25" xfId="0" applyNumberFormat="1" applyFont="1" applyFill="1" applyBorder="1" applyAlignment="1">
      <x:alignment vertical="center"/>
    </x:xf>
    <x:xf numFmtId="0" fontId="5" fillId="10" borderId="26" xfId="0" applyNumberFormat="1" applyFont="1" applyFill="1" applyBorder="1" applyAlignment="1">
      <x:alignment vertical="center"/>
    </x:xf>
    <x:xf numFmtId="0" fontId="5" fillId="10" borderId="27" xfId="0" applyNumberFormat="1" applyFont="1" applyFill="1" applyBorder="1" applyAlignment="1">
      <x:alignment vertical="center"/>
    </x:xf>
    <x:xf numFmtId="0" fontId="5" fillId="10" borderId="24" xfId="0" applyNumberFormat="1" applyFont="1" applyFill="1" applyBorder="1" applyAlignment="1">
      <x:alignment horizontal="center" vertical="center"/>
    </x:xf>
    <x:xf numFmtId="0" fontId="5" fillId="10" borderId="25" xfId="0" applyNumberFormat="1" applyFont="1" applyFill="1" applyBorder="1" applyAlignment="1">
      <x:alignment horizontal="center" vertical="center"/>
    </x:xf>
    <x:xf numFmtId="0" fontId="5" fillId="10" borderId="26" xfId="0" applyNumberFormat="1" applyFont="1" applyFill="1" applyBorder="1" applyAlignment="1">
      <x:alignment horizontal="center" vertical="center"/>
    </x:xf>
    <x:xf numFmtId="0" fontId="5" fillId="10" borderId="27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/>
    </x:xf>
    <x:xf numFmtId="0" fontId="2" fillId="11" borderId="28" xfId="0" applyNumberFormat="1" applyFont="1" applyFill="1" applyBorder="1" applyAlignment="1">
      <x:alignment vertical="center"/>
    </x:xf>
    <x:xf numFmtId="0" fontId="2" fillId="11" borderId="29" xfId="0" applyNumberFormat="1" applyFont="1" applyFill="1" applyBorder="1" applyAlignment="1">
      <x:alignment vertical="center"/>
    </x:xf>
    <x:xf numFmtId="0" fontId="2" fillId="11" borderId="28" xfId="0" applyNumberFormat="1" applyFont="1" applyFill="1" applyBorder="1" applyAlignment="1">
      <x:alignment horizontal="center" vertical="center"/>
    </x:xf>
    <x:xf numFmtId="0" fontId="2" fillId="11" borderId="29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/>
    </x:xf>
    <x:xf numFmtId="0" fontId="5" fillId="12" borderId="30" xfId="0" applyNumberFormat="1" applyFont="1" applyFill="1" applyBorder="1" applyAlignment="1">
      <x:alignment vertical="center"/>
    </x:xf>
    <x:xf numFmtId="0" fontId="5" fillId="12" borderId="31" xfId="0" applyNumberFormat="1" applyFont="1" applyFill="1" applyBorder="1" applyAlignment="1">
      <x:alignment vertical="center"/>
    </x:xf>
    <x:xf numFmtId="0" fontId="5" fillId="12" borderId="32" xfId="0" applyNumberFormat="1" applyFont="1" applyFill="1" applyBorder="1" applyAlignment="1">
      <x:alignment vertical="center"/>
    </x:xf>
    <x:xf numFmtId="0" fontId="5" fillId="12" borderId="33" xfId="0" applyNumberFormat="1" applyFont="1" applyFill="1" applyBorder="1" applyAlignment="1">
      <x:alignment vertical="center"/>
    </x:xf>
    <x:xf numFmtId="0" fontId="5" fillId="12" borderId="30" xfId="0" applyNumberFormat="1" applyFont="1" applyFill="1" applyBorder="1" applyAlignment="1">
      <x:alignment horizontal="center" vertical="center"/>
    </x:xf>
    <x:xf numFmtId="0" fontId="5" fillId="12" borderId="31" xfId="0" applyNumberFormat="1" applyFont="1" applyFill="1" applyBorder="1" applyAlignment="1">
      <x:alignment horizontal="center" vertical="center"/>
    </x:xf>
    <x:xf numFmtId="0" fontId="5" fillId="12" borderId="32" xfId="0" applyNumberFormat="1" applyFont="1" applyFill="1" applyBorder="1" applyAlignment="1">
      <x:alignment horizontal="center" vertical="center"/>
    </x:xf>
    <x:xf numFmtId="0" fontId="5" fillId="12" borderId="33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 applyAlignment="1">
      <x:alignment vertical="center"/>
    </x:xf>
    <x:xf numFmtId="0" fontId="2" fillId="13" borderId="0" xfId="0" applyNumberFormat="1" applyFont="1" applyFill="1" applyBorder="1" applyAlignment="1">
      <x:alignment vertical="center"/>
    </x:xf>
    <x:xf numFmtId="0" fontId="2" fillId="13" borderId="34" xfId="0" applyNumberFormat="1" applyFont="1" applyFill="1" applyBorder="1" applyAlignment="1">
      <x:alignment vertical="center"/>
    </x:xf>
    <x:xf numFmtId="0" fontId="2" fillId="13" borderId="35" xfId="0" applyNumberFormat="1" applyFont="1" applyFill="1" applyBorder="1" applyAlignment="1">
      <x:alignment vertical="center"/>
    </x:xf>
    <x:xf numFmtId="0" fontId="2" fillId="13" borderId="34" xfId="0" applyNumberFormat="1" applyFont="1" applyFill="1" applyBorder="1" applyAlignment="1">
      <x:alignment horizontal="center" vertical="center"/>
    </x:xf>
    <x:xf numFmtId="0" fontId="2" fillId="13" borderId="35" xfId="0" applyNumberFormat="1" applyFont="1" applyFill="1" applyBorder="1" applyAlignment="1">
      <x:alignment horizontal="center" vertical="center"/>
    </x:xf>
    <x:xf numFmtId="0" fontId="1" fillId="14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vertical="center"/>
    </x:xf>
    <x:xf numFmtId="0" fontId="5" fillId="14" borderId="36" xfId="0" applyNumberFormat="1" applyFont="1" applyFill="1" applyBorder="1" applyAlignment="1">
      <x:alignment vertical="center"/>
    </x:xf>
    <x:xf numFmtId="0" fontId="5" fillId="14" borderId="37" xfId="0" applyNumberFormat="1" applyFont="1" applyFill="1" applyBorder="1" applyAlignment="1">
      <x:alignment vertical="center"/>
    </x:xf>
    <x:xf numFmtId="0" fontId="5" fillId="14" borderId="38" xfId="0" applyNumberFormat="1" applyFont="1" applyFill="1" applyBorder="1" applyAlignment="1">
      <x:alignment vertical="center"/>
    </x:xf>
    <x:xf numFmtId="0" fontId="5" fillId="14" borderId="39" xfId="0" applyNumberFormat="1" applyFont="1" applyFill="1" applyBorder="1" applyAlignment="1">
      <x:alignment vertical="center"/>
    </x:xf>
    <x:xf numFmtId="0" fontId="5" fillId="14" borderId="36" xfId="0" applyNumberFormat="1" applyFont="1" applyFill="1" applyBorder="1" applyAlignment="1">
      <x:alignment horizontal="center" vertical="center"/>
    </x:xf>
    <x:xf numFmtId="0" fontId="5" fillId="14" borderId="37" xfId="0" applyNumberFormat="1" applyFont="1" applyFill="1" applyBorder="1" applyAlignment="1">
      <x:alignment horizontal="center" vertical="center"/>
    </x:xf>
    <x:xf numFmtId="0" fontId="5" fillId="14" borderId="38" xfId="0" applyNumberFormat="1" applyFont="1" applyFill="1" applyBorder="1" applyAlignment="1">
      <x:alignment horizontal="center" vertical="center"/>
    </x:xf>
    <x:xf numFmtId="0" fontId="5" fillId="14" borderId="39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top"/>
    </x:xf>
  </x:cellXfs>
  <x:cellStyles count="1">
    <x:cellStyle name="Normal" xfId="0"/>
  </x:cellStyles>
  <x:dxfs count="86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334155"/>
      </x:font>
      <x:fill>
        <x:patternFill patternType="solid">
          <x:bgColor rgb="FFF1F5F9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334155"/>
      </x:font>
      <x:fill>
        <x:patternFill patternType="solid">
          <x:bgColor rgb="FFF1F5F9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334155"/>
      </x:font>
      <x:fill>
        <x:patternFill patternType="solid">
          <x:bgColor rgb="FFF1F5F9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334155"/>
      </x:font>
      <x:fill>
        <x:patternFill patternType="solid">
          <x:bgColor rgb="FFF1F5F9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334155"/>
      </x:font>
      <x:fill>
        <x:patternFill patternType="solid">
          <x:bgColor rgb="FFF1F5F9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334155"/>
      </x:font>
      <x:fill>
        <x:patternFill patternType="solid">
          <x:bgColor rgb="FFF1F5F9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334155"/>
      </x:font>
      <x:fill>
        <x:patternFill patternType="solid">
          <x:bgColor rgb="FFF1F5F9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334155"/>
      </x:font>
      <x:fill>
        <x:patternFill patternType="solid">
          <x:bgColor rgb="FFF1F5F9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C2410C"/>
      </x:font>
      <x:fill>
        <x:patternFill patternType="solid">
          <x:bgColor rgb="FFFFEDD5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334155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b263bf2b943dd" /><Relationship Type="http://schemas.openxmlformats.org/officeDocument/2006/relationships/theme" Target="/xl/theme/theme1.xml" Id="R752d785b023c4c50" /><Relationship Type="http://schemas.openxmlformats.org/officeDocument/2006/relationships/sharedStrings" Target="/xl/sharedStrings.xml" Id="R5ae901d529c4498e" /><Relationship Type="http://schemas.openxmlformats.org/officeDocument/2006/relationships/worksheet" Target="/xl/worksheets/sheet1.xml" Id="R82b2d5e0ff124314" /><Relationship Type="http://schemas.openxmlformats.org/officeDocument/2006/relationships/worksheet" Target="/xl/worksheets/sheet2.xml" Id="Rfd0f8515afd14d11" /><Relationship Type="http://schemas.openxmlformats.org/officeDocument/2006/relationships/worksheet" Target="/xl/worksheets/sheet3.xml" Id="R8f65a8ab37d6477a" /><Relationship Type="http://schemas.openxmlformats.org/officeDocument/2006/relationships/worksheet" Target="/xl/worksheets/sheet4.xml" Id="Raad4d521bf204703" /><Relationship Type="http://schemas.openxmlformats.org/officeDocument/2006/relationships/worksheet" Target="/xl/worksheets/sheet5.xml" Id="R5e7a0f86f82e4c2f" /><Relationship Type="http://schemas.openxmlformats.org/officeDocument/2006/relationships/worksheet" Target="/xl/worksheets/sheet6.xml" Id="R32ac8fcb8bf742da" /><Relationship Type="http://schemas.openxmlformats.org/officeDocument/2006/relationships/worksheet" Target="/xl/worksheets/sheet7.xml" Id="R31f802dd67934c0f" /><Relationship Type="http://schemas.openxmlformats.org/officeDocument/2006/relationships/worksheet" Target="/xl/worksheets/sheet8.xml" Id="Re1a21db8b00d4290" /><Relationship Type="http://schemas.openxmlformats.org/officeDocument/2006/relationships/worksheet" Target="/xl/worksheets/sheet9.xml" Id="R4eac40c07f234e65" /></Relationships>
</file>

<file path=xl/tables/table1.xml><?xml version="1.0" encoding="utf-8"?>
<x:table xmlns:x="http://schemas.openxmlformats.org/spreadsheetml/2006/main" id="9" name="DashboardGateSummary" displayName="DashboardGateSummary" ref="A13:D31" headerRowCount="1" totalsRowCount="0" totalsRowShown="0">
  <x:tableColumns count="4">
    <x:tableColumn id="1" name="Gate ID"/>
    <x:tableColumn id="2" name="Title"/>
    <x:tableColumn id="3" name="Evidence status"/>
    <x:tableColumn id="4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DashboardFindingStatus" displayName="DashboardFindingStatus" ref="F13:G20" headerRowCount="1" totalsRowCount="0" totalsRowShown="0">
  <x:tableColumns count="2">
    <x:tableColumn id="1" name="Status"/>
    <x:tableColumn id="2" name="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DashboardWorkflowStatus" displayName="DashboardWorkflowStatus" ref="F23:G30" headerRowCount="1" totalsRowCount="0" totalsRowShown="0">
  <x:tableColumns count="2">
    <x:tableColumn id="1" name="Status"/>
    <x:tableColumn id="2" name="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DashboardPriorityMix" displayName="DashboardPriorityMix" ref="I13:J17" headerRowCount="1" totalsRowCount="0" totalsRowShown="0">
  <x:tableColumns count="2">
    <x:tableColumn id="1" name="Priority"/>
    <x:tableColumn id="2" name="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3" name="DashboardServiceRoleDisposition" displayName="DashboardServiceRoleDisposition" ref="I20:J24" headerRowCount="1" totalsRowCount="0" totalsRowShown="0">
  <x:tableColumns count="2">
    <x:tableColumn id="1" name="Disposition"/>
    <x:tableColumn id="2" name="C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" name="AuditFindings" displayName="AuditFindings" ref="A1:M80" headerRowCount="1" totalsRowCount="0" totalsRowShown="0">
  <x:autoFilter ref="A1:M80"/>
  <x:tableColumns count="13">
    <x:tableColumn id="1" name="Finding ID"/>
    <x:tableColumn id="2" name="Kind"/>
    <x:tableColumn id="3" name="Priority"/>
    <x:tableColumn id="4" name="State"/>
    <x:tableColumn id="5" name="Domain"/>
    <x:tableColumn id="6" name="Wave"/>
    <x:tableColumn id="7" name="Status"/>
    <x:tableColumn id="8" name="Title"/>
    <x:tableColumn id="9" name="Solution"/>
    <x:tableColumn id="10" name="Workflows"/>
    <x:tableColumn id="11" name="Owner"/>
    <x:tableColumn id="12" name="Blockers"/>
    <x:tableColumn id="13" name="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AuditWorkflows" displayName="AuditWorkflows" ref="A1:Q21" headerRowCount="1" totalsRowCount="0" totalsRowShown="0">
  <x:autoFilter ref="A1:Q21"/>
  <x:tableColumns count="17">
    <x:tableColumn id="1" name="Workflow ID"/>
    <x:tableColumn id="2" name="Title"/>
    <x:tableColumn id="3" name="Domain"/>
    <x:tableColumn id="4" name="Wave"/>
    <x:tableColumn id="5" name="Disposition"/>
    <x:tableColumn id="6" name="Status"/>
    <x:tableColumn id="7" name="Producer"/>
    <x:tableColumn id="8" name="Recipients"/>
    <x:tableColumn id="9" name="Capability"/>
    <x:tableColumn id="10" name="Tenant target"/>
    <x:tableColumn id="11" name="Recipient-visible result"/>
    <x:tableColumn id="12" name="Recovery"/>
    <x:tableColumn id="13" name="Required tests"/>
    <x:tableColumn id="14" name="Findings"/>
    <x:tableColumn id="15" name="Owner"/>
    <x:tableColumn id="16" name="Blockers"/>
    <x:tableColumn id="17" name="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3" name="AuditSpecTasks" displayName="AuditSpecTasks" ref="A1:J363" headerRowCount="1" totalsRowCount="0" totalsRowShown="0">
  <x:autoFilter ref="A1:J363"/>
  <x:tableColumns count="10">
    <x:tableColumn id="1" name="Task ID"/>
    <x:tableColumn id="2" name="Order"/>
    <x:tableColumn id="3" name="Phase"/>
    <x:tableColumn id="4" name="Doc"/>
    <x:tableColumn id="5" name="Status"/>
    <x:tableColumn id="6" name="Title"/>
    <x:tableColumn id="7" name="Acceptance criteria"/>
    <x:tableColumn id="8" name="Workflows"/>
    <x:tableColumn id="9" name="Blockers"/>
    <x:tableColumn id="10" name="Prior claim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4" name="AuditLaunchGates" displayName="AuditLaunchGates" ref="A1:J19" headerRowCount="1" totalsRowCount="0" totalsRowShown="0">
  <x:autoFilter ref="A1:J19"/>
  <x:tableColumns count="10">
    <x:tableColumn id="1" name="Gate ID"/>
    <x:tableColumn id="2" name="Title"/>
    <x:tableColumn id="3" name="Wave"/>
    <x:tableColumn id="4" name="Check kind"/>
    <x:tableColumn id="5" name="Command"/>
    <x:tableColumn id="6" name="Acceptance"/>
    <x:tableColumn id="7" name="Evidence kinds"/>
    <x:tableColumn id="8" name="Dependencies"/>
    <x:tableColumn id="9" name="Owner"/>
    <x:tableColumn id="10" name="Evidence 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5" name="AuditRisks" displayName="AuditRisks" ref="A1:K7" headerRowCount="1" totalsRowCount="0" totalsRowShown="0">
  <x:autoFilter ref="A1:K7"/>
  <x:tableColumns count="11">
    <x:tableColumn id="1" name="Risk ID"/>
    <x:tableColumn id="2" name="Title"/>
    <x:tableColumn id="3" name="Impact"/>
    <x:tableColumn id="4" name="Likelihood"/>
    <x:tableColumn id="5" name="Score"/>
    <x:tableColumn id="6" name="Level"/>
    <x:tableColumn id="7" name="Status"/>
    <x:tableColumn id="8" name="Mitigation"/>
    <x:tableColumn id="9" name="Trigger"/>
    <x:tableColumn id="10" name="Contingency"/>
    <x:tableColumn id="11" name="Own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6" name="AuditEvidence" displayName="AuditEvidence" ref="A1:L19" headerRowCount="1" totalsRowCount="0" totalsRowShown="0">
  <x:autoFilter ref="A1:L19"/>
  <x:tableColumns count="12">
    <x:tableColumn id="1" name="Evidence ID"/>
    <x:tableColumn id="2" name="Kind"/>
    <x:tableColumn id="3" name="Result"/>
    <x:tableColumn id="4" name="Environment"/>
    <x:tableColumn id="5" name="Captured at"/>
    <x:tableColumn id="6" name="Captured by"/>
    <x:tableColumn id="7" name="Commit"/>
    <x:tableColumn id="8" name="Artifact"/>
    <x:tableColumn id="9" name="Findings"/>
    <x:tableColumn id="10" name="Workflows"/>
    <x:tableColumn id="11" name="Gates"/>
    <x:tableColumn id="12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7" name="AuditDecisions" displayName="AuditDecisions" ref="A1:G10" headerRowCount="1" totalsRowCount="0" totalsRowShown="0">
  <x:autoFilter ref="A1:G10"/>
  <x:tableColumns count="7">
    <x:tableColumn id="1" name="Decision ID"/>
    <x:tableColumn id="2" name="Source alias"/>
    <x:tableColumn id="3" name="Topic"/>
    <x:tableColumn id="4" name="Decision"/>
    <x:tableColumn id="5" name="Rationale"/>
    <x:tableColumn id="6" name="Status"/>
    <x:tableColumn id="7" name="Owner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8" name="AuditServiceRoleDebt" displayName="AuditServiceRoleDebt" ref="A1:G24" headerRowCount="1" totalsRowCount="0" totalsRowShown="0">
  <x:autoFilter ref="A1:G24"/>
  <x:tableColumns count="7">
    <x:tableColumn id="1" name="File"/>
    <x:tableColumn id="2" name="Disposition"/>
    <x:tableColumn id="3" name="Workflow"/>
    <x:tableColumn id="4" name="Finding"/>
    <x:tableColumn id="5" name="Owner"/>
    <x:tableColumn id="6" name="Reviewed at"/>
    <x:tableColumn id="7" name="Required remedi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176c6fc9184a81" /><Relationship Type="http://schemas.openxmlformats.org/officeDocument/2006/relationships/table" Target="/xl/tables/table2.xml" Id="R707201d78ef44d85" /><Relationship Type="http://schemas.openxmlformats.org/officeDocument/2006/relationships/table" Target="/xl/tables/table3.xml" Id="R4887867c656842e1" /><Relationship Type="http://schemas.openxmlformats.org/officeDocument/2006/relationships/table" Target="/xl/tables/table4.xml" Id="R220c144099f9406c" /><Relationship Type="http://schemas.openxmlformats.org/officeDocument/2006/relationships/table" Target="/xl/tables/table5.xml" Id="R3577ede251db4b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6.xml" Id="R4f669699e1a645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1c45d33eac3d47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2e570dbb1aac4c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3265ac6ec69d49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8f71c7ea358644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06bcd261c3964b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83b0dffc563e40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b45f92ea9af540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22" hidden="0" customWidth="1"/>
    <x:col min="4" max="4" width="22" hidden="0" customWidth="1"/>
    <x:col min="5" max="5" width="3" hidden="0" customWidth="1"/>
    <x:col min="6" max="6" width="36" hidden="0" customWidth="1"/>
    <x:col min="7" max="7" width="12" hidden="0" customWidth="1"/>
    <x:col min="8" max="8" width="3" hidden="0" customWidth="1"/>
    <x:col min="9" max="9" width="29" hidden="0" customWidth="1"/>
    <x:col min="10" max="10" width="12" hidden="0" customWidth="1"/>
  </x:cols>
  <x:sheetData>
    <x:row r="1" ht="38" customHeight="1">
      <x:c r="A1" s="16" t="str">
        <x:v>Tourify Admin Workflow Completion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2" ht="24" customHeight="1">
      <x:c r="A2" s="17" t="str">
        <x:v>Canonical registry v7 • baseline codex/admin-workflow-completion@a043d35d4304 • source e1cccbdab5c7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</x:row>
    <x:row r="4">
      <x:c r="A4" s="22" t="str">
        <x:v>Release posture</x:v>
      </x:c>
      <x:c r="B4" s="23"/>
      <x:c r="C4" s="38" t="str">
        <x:v>Total findings</x:v>
      </x:c>
      <x:c r="D4" s="39"/>
      <x:c r="E4" s="54" t="str">
        <x:v>Open P0</x:v>
      </x:c>
      <x:c r="F4" s="55"/>
      <x:c r="G4" s="70" t="str">
        <x:v>Open P1</x:v>
      </x:c>
      <x:c r="H4" s="71"/>
      <x:c r="I4" s="86" t="str">
        <x:v>Verified gates</x:v>
      </x:c>
      <x:c r="J4" s="87"/>
    </x:row>
    <x:row r="5">
      <x:c r="A5" s="30" t="str">
        <x:f>IF(AND(E5=0,G5=0,I5=18),"GO","NO-GO")</x:f>
        <x:v>NO-GO</x:v>
      </x:c>
      <x:c r="B5" s="31"/>
      <x:c r="C5" s="46" t="n">
        <x:f>COUNTA('Findings'!$A$2:$A$80)</x:f>
        <x:v>79</x:v>
      </x:c>
      <x:c r="D5" s="47"/>
      <x:c r="E5" s="62" t="n">
        <x:f>COUNTIFS('Findings'!$C$2:$C$80,"P0",'Findings'!$G$2:$G$80,"&lt;&gt;done")</x:f>
        <x:v>10</x:v>
      </x:c>
      <x:c r="F5" s="63"/>
      <x:c r="G5" s="78" t="n">
        <x:f>COUNTIFS('Findings'!$C$2:$C$80,"P1",'Findings'!$G$2:$G$80,"&lt;&gt;done")</x:f>
        <x:v>29</x:v>
      </x:c>
      <x:c r="H5" s="79"/>
      <x:c r="I5" s="94" t="n">
        <x:f>COUNTIF('Launch Gates'!$J$2:$J$19,"evidence_complete")</x:f>
        <x:v>0</x:v>
      </x:c>
      <x:c r="J5" s="95"/>
    </x:row>
    <x:row r="6">
      <x:c r="A6" s="32"/>
      <x:c r="B6" s="33"/>
      <x:c r="C6" s="48"/>
      <x:c r="D6" s="49"/>
      <x:c r="E6" s="64"/>
      <x:c r="F6" s="65"/>
      <x:c r="G6" s="80"/>
      <x:c r="H6" s="81"/>
      <x:c r="I6" s="96"/>
      <x:c r="J6" s="97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</x:row>
    <x:row r="8">
      <x:c r="A8" s="38" t="str">
        <x:v>Workflows</x:v>
      </x:c>
      <x:c r="B8" s="39"/>
      <x:c r="C8" s="22" t="str">
        <x:v>Spec tasks</x:v>
      </x:c>
      <x:c r="D8" s="23"/>
      <x:c r="E8" s="86" t="str">
        <x:v>Passing evidence</x:v>
      </x:c>
      <x:c r="F8" s="87"/>
      <x:c r="G8" s="102" t="str">
        <x:v>Service-role debt</x:v>
      </x:c>
      <x:c r="H8" s="103"/>
      <x:c r="I8" s="54" t="str">
        <x:v>Open risks</x:v>
      </x:c>
      <x:c r="J8" s="55"/>
    </x:row>
    <x:row r="9">
      <x:c r="A9" s="46" t="n">
        <x:f>COUNTA('Workflows'!$A$2:$A$21)</x:f>
        <x:v>20</x:v>
      </x:c>
      <x:c r="B9" s="47"/>
      <x:c r="C9" s="30" t="n">
        <x:f>COUNTA('Spec Tasks'!$A$2:$A$363)</x:f>
        <x:v>362</x:v>
      </x:c>
      <x:c r="D9" s="31"/>
      <x:c r="E9" s="94" t="n">
        <x:f>COUNTIF('Evidence'!$C$2:$C$19,"pass")</x:f>
        <x:v>16</x:v>
      </x:c>
      <x:c r="F9" s="95"/>
      <x:c r="G9" s="110" t="n">
        <x:f>COUNTA('Service Role Debt'!$A$2:$A$24)</x:f>
        <x:v>23</x:v>
      </x:c>
      <x:c r="H9" s="111"/>
      <x:c r="I9" s="62" t="n">
        <x:f>COUNTIF('Risks'!$G$2:$G$7,"open")</x:f>
        <x:v>6</x:v>
      </x:c>
      <x:c r="J9" s="63"/>
    </x:row>
    <x:row r="10">
      <x:c r="A10" s="48"/>
      <x:c r="B10" s="49"/>
      <x:c r="C10" s="32"/>
      <x:c r="D10" s="33"/>
      <x:c r="E10" s="96"/>
      <x:c r="F10" s="97"/>
      <x:c r="G10" s="112"/>
      <x:c r="H10" s="113"/>
      <x:c r="I10" s="64"/>
      <x:c r="J10" s="65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</x:row>
    <x:row r="12" ht="25" customHeight="1">
      <x:c r="A12" s="115" t="str">
        <x:v>Launch gate readiness</x:v>
      </x:c>
      <x:c r="B12" s="115"/>
      <x:c r="C12" s="115"/>
      <x:c r="D12" s="115"/>
      <x:c r="E12" s="14"/>
      <x:c r="F12" s="115" t="str">
        <x:v>Finding status</x:v>
      </x:c>
      <x:c r="G12" s="115"/>
      <x:c r="H12" s="14"/>
      <x:c r="I12" s="115" t="str">
        <x:v>Priority mix</x:v>
      </x:c>
      <x:c r="J12" s="115"/>
    </x:row>
    <x:row r="13">
      <x:c r="A13" s="2" t="str">
        <x:v>Gate ID</x:v>
      </x:c>
      <x:c r="B13" s="2" t="str">
        <x:v>Title</x:v>
      </x:c>
      <x:c r="C13" s="2" t="str">
        <x:v>Evidence status</x:v>
      </x:c>
      <x:c r="D13" s="2" t="str">
        <x:v>Owner</x:v>
      </x:c>
      <x:c r="E13" s="2"/>
      <x:c r="F13" s="2" t="str">
        <x:v>Status</x:v>
      </x:c>
      <x:c r="G13" s="2" t="str">
        <x:v>Count</x:v>
      </x:c>
      <x:c r="H13" s="2"/>
      <x:c r="I13" s="2" t="str">
        <x:v>Priority</x:v>
      </x:c>
      <x:c r="J13" s="2" t="str">
        <x:v>Count</x:v>
      </x:c>
    </x:row>
    <x:row r="14" ht="25" customHeight="1">
      <x:c r="A14" s="2" t="str">
        <x:f>'Launch Gates'!A2</x:f>
        <x:v>LG-01</x:v>
      </x:c>
      <x:c r="B14" s="3" t="str">
        <x:f>'Launch Gates'!B2</x:f>
        <x:v>TypeScript typecheck passes</x:v>
      </x:c>
      <x:c r="C14" s="2" t="str">
        <x:f>'Launch Gates'!J2</x:f>
        <x:v>not_verified</x:v>
      </x:c>
      <x:c r="D14" s="2" t="str">
        <x:f>'Launch Gates'!I2</x:f>
        <x:v>Engineering</x:v>
      </x:c>
      <x:c r="E14" s="2"/>
      <x:c r="F14" s="2" t="str">
        <x:v>observed</x:v>
      </x:c>
      <x:c r="G14" s="2" t="n">
        <x:f>COUNTIF('Findings'!$G$2:$G$80,F14)</x:f>
        <x:v>60</x:v>
      </x:c>
      <x:c r="H14" s="2"/>
      <x:c r="I14" s="2" t="str">
        <x:v>P0</x:v>
      </x:c>
      <x:c r="J14" s="2" t="n">
        <x:f>COUNTIF('Findings'!$C$2:$C$80,I14)</x:f>
        <x:v>10</x:v>
      </x:c>
    </x:row>
    <x:row r="15" ht="25" customHeight="1">
      <x:c r="A15" s="2" t="str">
        <x:f>'Launch Gates'!A3</x:f>
        <x:v>LG-02</x:v>
      </x:c>
      <x:c r="B15" s="3" t="str">
        <x:f>'Launch Gates'!B3</x:f>
        <x:v>Production build passes</x:v>
      </x:c>
      <x:c r="C15" s="2" t="str">
        <x:f>'Launch Gates'!J3</x:f>
        <x:v>not_verified</x:v>
      </x:c>
      <x:c r="D15" s="2" t="str">
        <x:f>'Launch Gates'!I3</x:f>
        <x:v>Engineering</x:v>
      </x:c>
      <x:c r="E15" s="2"/>
      <x:c r="F15" s="2" t="str">
        <x:v>reproduced</x:v>
      </x:c>
      <x:c r="G15" s="2" t="n">
        <x:f>COUNTIF('Findings'!$G$2:$G$80,F15)</x:f>
        <x:v>3</x:v>
      </x:c>
      <x:c r="H15" s="2"/>
      <x:c r="I15" s="2" t="str">
        <x:v>P1</x:v>
      </x:c>
      <x:c r="J15" s="2" t="n">
        <x:f>COUNTIF('Findings'!$C$2:$C$80,I15)</x:f>
        <x:v>29</x:v>
      </x:c>
    </x:row>
    <x:row r="16" ht="25" customHeight="1">
      <x:c r="A16" s="2" t="str">
        <x:f>'Launch Gates'!A4</x:f>
        <x:v>LG-03</x:v>
      </x:c>
      <x:c r="B16" s="3" t="str">
        <x:f>'Launch Gates'!B4</x:f>
        <x:v>Admin automated tests pass</x:v>
      </x:c>
      <x:c r="C16" s="2" t="str">
        <x:f>'Launch Gates'!J4</x:f>
        <x:v>not_verified</x:v>
      </x:c>
      <x:c r="D16" s="2" t="str">
        <x:f>'Launch Gates'!I4</x:f>
        <x:v>Engineering</x:v>
      </x:c>
      <x:c r="E16" s="2"/>
      <x:c r="F16" s="2" t="str">
        <x:v>in_progress</x:v>
      </x:c>
      <x:c r="G16" s="2" t="n">
        <x:f>COUNTIF('Findings'!$G$2:$G$80,F16)</x:f>
        <x:v>6</x:v>
      </x:c>
      <x:c r="H16" s="2"/>
      <x:c r="I16" s="2" t="str">
        <x:v>P2</x:v>
      </x:c>
      <x:c r="J16" s="2" t="n">
        <x:f>COUNTIF('Findings'!$C$2:$C$80,I16)</x:f>
        <x:v>29</x:v>
      </x:c>
    </x:row>
    <x:row r="17" ht="25" customHeight="1">
      <x:c r="A17" s="2" t="str">
        <x:f>'Launch Gates'!A5</x:f>
        <x:v>LG-04</x:v>
      </x:c>
      <x:c r="B17" s="3" t="str">
        <x:f>'Launch Gates'!B5</x:f>
        <x:v>Admin route registry passes</x:v>
      </x:c>
      <x:c r="C17" s="2" t="str">
        <x:f>'Launch Gates'!J5</x:f>
        <x:v>not_verified</x:v>
      </x:c>
      <x:c r="D17" s="2" t="str">
        <x:f>'Launch Gates'!I5</x:f>
        <x:v>Security engineering</x:v>
      </x:c>
      <x:c r="E17" s="2"/>
      <x:c r="F17" s="2" t="str">
        <x:v>implemented</x:v>
      </x:c>
      <x:c r="G17" s="2" t="n">
        <x:f>COUNTIF('Findings'!$G$2:$G$80,F17)</x:f>
        <x:v>10</x:v>
      </x:c>
      <x:c r="H17" s="2"/>
      <x:c r="I17" s="2" t="str">
        <x:v>P3</x:v>
      </x:c>
      <x:c r="J17" s="2" t="n">
        <x:f>COUNTIF('Findings'!$C$2:$C$80,I17)</x:f>
        <x:v>11</x:v>
      </x:c>
    </x:row>
    <x:row r="18" ht="25" customHeight="1">
      <x:c r="A18" s="2" t="str">
        <x:f>'Launch Gates'!A6</x:f>
        <x:v>LG-05</x:v>
      </x:c>
      <x:c r="B18" s="3" t="str">
        <x:f>'Launch Gates'!B6</x:f>
        <x:v>Service-role allowlist passes</x:v>
      </x:c>
      <x:c r="C18" s="2" t="str">
        <x:f>'Launch Gates'!J6</x:f>
        <x:v>not_verified</x:v>
      </x:c>
      <x:c r="D18" s="2" t="str">
        <x:f>'Launch Gates'!I6</x:f>
        <x:v>Security engineering</x:v>
      </x:c>
      <x:c r="E18" s="2"/>
      <x:c r="F18" s="2" t="str">
        <x:v>ready_for_staging</x:v>
      </x:c>
      <x:c r="G18" s="2" t="n">
        <x:f>COUNTIF('Findings'!$G$2:$G$80,F18)</x:f>
        <x:v>0</x:v>
      </x:c>
      <x:c r="H18" s="2"/>
      <x:c r="I18" s="2"/>
      <x:c r="J18" s="2"/>
    </x:row>
    <x:row r="19" ht="25" customHeight="1">
      <x:c r="A19" s="2" t="str">
        <x:f>'Launch Gates'!A7</x:f>
        <x:v>LG-06</x:v>
      </x:c>
      <x:c r="B19" s="3" t="str">
        <x:f>'Launch Gates'!B7</x:f>
        <x:v>Migration validation passes</x:v>
      </x:c>
      <x:c r="C19" s="2" t="str">
        <x:f>'Launch Gates'!J7</x:f>
        <x:v>not_verified</x:v>
      </x:c>
      <x:c r="D19" s="2" t="str">
        <x:f>'Launch Gates'!I7</x:f>
        <x:v>Database engineering</x:v>
      </x:c>
      <x:c r="E19" s="2"/>
      <x:c r="F19" s="2" t="str">
        <x:v>ready_for_independent_verification</x:v>
      </x:c>
      <x:c r="G19" s="2" t="n">
        <x:f>COUNTIF('Findings'!$G$2:$G$80,F19)</x:f>
        <x:v>0</x:v>
      </x:c>
      <x:c r="H19" s="2"/>
      <x:c r="I19" s="116" t="str">
        <x:v>Service-role disposition</x:v>
      </x:c>
      <x:c r="J19" s="116"/>
    </x:row>
    <x:row r="20" ht="25" customHeight="1">
      <x:c r="A20" s="2" t="str">
        <x:f>'Launch Gates'!A8</x:f>
        <x:v>LG-07</x:v>
      </x:c>
      <x:c r="B20" s="3" t="str">
        <x:f>'Launch Gates'!B8</x:f>
        <x:v>Zero open P0 findings</x:v>
      </x:c>
      <x:c r="C20" s="2" t="str">
        <x:f>'Launch Gates'!J8</x:f>
        <x:v>not_verified</x:v>
      </x:c>
      <x:c r="D20" s="2" t="str">
        <x:f>'Launch Gates'!I8</x:f>
        <x:v>Security</x:v>
      </x:c>
      <x:c r="E20" s="2"/>
      <x:c r="F20" s="2" t="str">
        <x:v>done</x:v>
      </x:c>
      <x:c r="G20" s="2" t="n">
        <x:f>COUNTIF('Findings'!$G$2:$G$80,F20)</x:f>
        <x:v>0</x:v>
      </x:c>
      <x:c r="H20" s="2"/>
      <x:c r="I20" s="2" t="str">
        <x:v>Disposition</x:v>
      </x:c>
      <x:c r="J20" s="2" t="str">
        <x:v>Count</x:v>
      </x:c>
    </x:row>
    <x:row r="21" ht="25" customHeight="1">
      <x:c r="A21" s="2" t="str">
        <x:f>'Launch Gates'!A9</x:f>
        <x:v>LG-08</x:v>
      </x:c>
      <x:c r="B21" s="3" t="str">
        <x:f>'Launch Gates'!B9</x:f>
        <x:v>Zero launch-blocking P1 findings</x:v>
      </x:c>
      <x:c r="C21" s="2" t="str">
        <x:f>'Launch Gates'!J9</x:f>
        <x:v>not_verified</x:v>
      </x:c>
      <x:c r="D21" s="2" t="str">
        <x:f>'Launch Gates'!I9</x:f>
        <x:v>Security</x:v>
      </x:c>
      <x:c r="E21" s="2"/>
      <x:c r="F21" s="2"/>
      <x:c r="G21" s="2"/>
      <x:c r="H21" s="2"/>
      <x:c r="I21" s="2" t="str">
        <x:v>migrate_to_job</x:v>
      </x:c>
      <x:c r="J21" s="2" t="n">
        <x:f>COUNTIF('Service Role Debt'!$B$2:$B$24,I21)</x:f>
        <x:v>9</x:v>
      </x:c>
    </x:row>
    <x:row r="22" ht="25" customHeight="1">
      <x:c r="A22" s="2" t="str">
        <x:f>'Launch Gates'!A10</x:f>
        <x:v>LG-09</x:v>
      </x:c>
      <x:c r="B22" s="3" t="str">
        <x:f>'Launch Gates'!B10</x:f>
        <x:v>SECURITY DEFINER inventory complete</x:v>
      </x:c>
      <x:c r="C22" s="2" t="str">
        <x:f>'Launch Gates'!J10</x:f>
        <x:v>not_verified</x:v>
      </x:c>
      <x:c r="D22" s="2" t="str">
        <x:f>'Launch Gates'!I10</x:f>
        <x:v>Database security</x:v>
      </x:c>
      <x:c r="E22" s="2"/>
      <x:c r="F22" s="116" t="str">
        <x:v>Workflow status</x:v>
      </x:c>
      <x:c r="G22" s="116"/>
      <x:c r="H22" s="2"/>
      <x:c r="I22" s="2" t="str">
        <x:v>replace_with_user_rls</x:v>
      </x:c>
      <x:c r="J22" s="2" t="n">
        <x:f>COUNTIF('Service Role Debt'!$B$2:$B$24,I22)</x:f>
        <x:v>6</x:v>
      </x:c>
    </x:row>
    <x:row r="23" ht="25" customHeight="1">
      <x:c r="A23" s="2" t="str">
        <x:f>'Launch Gates'!A11</x:f>
        <x:v>LG-10</x:v>
      </x:c>
      <x:c r="B23" s="3" t="str">
        <x:f>'Launch Gates'!B11</x:f>
        <x:v>Repository and staging migration parity</x:v>
      </x:c>
      <x:c r="C23" s="2" t="str">
        <x:f>'Launch Gates'!J11</x:f>
        <x:v>not_verified</x:v>
      </x:c>
      <x:c r="D23" s="2" t="str">
        <x:f>'Launch Gates'!I11</x:f>
        <x:v>Database engineering</x:v>
      </x:c>
      <x:c r="E23" s="2"/>
      <x:c r="F23" s="2" t="str">
        <x:v>Status</x:v>
      </x:c>
      <x:c r="G23" s="2" t="str">
        <x:v>Count</x:v>
      </x:c>
      <x:c r="H23" s="2"/>
      <x:c r="I23" s="2" t="str">
        <x:v>replace_with_rpc</x:v>
      </x:c>
      <x:c r="J23" s="2" t="n">
        <x:f>COUNTIF('Service Role Debt'!$B$2:$B$24,I23)</x:f>
        <x:v>8</x:v>
      </x:c>
    </x:row>
    <x:row r="24" ht="25" customHeight="1">
      <x:c r="A24" s="2" t="str">
        <x:f>'Launch Gates'!A12</x:f>
        <x:v>LG-11</x:v>
      </x:c>
      <x:c r="B24" s="3" t="str">
        <x:f>'Launch Gates'!B12</x:f>
        <x:v>Two-organization RLS matrix passes</x:v>
      </x:c>
      <x:c r="C24" s="2" t="str">
        <x:f>'Launch Gates'!J12</x:f>
        <x:v>not_verified</x:v>
      </x:c>
      <x:c r="D24" s="2" t="str">
        <x:f>'Launch Gates'!I12</x:f>
        <x:v>Security QA</x:v>
      </x:c>
      <x:c r="E24" s="2"/>
      <x:c r="F24" s="2" t="str">
        <x:v>observed</x:v>
      </x:c>
      <x:c r="G24" s="2" t="n">
        <x:f>COUNTIF('Workflows'!$F$2:$F$21,F24)</x:f>
        <x:v>18</x:v>
      </x:c>
      <x:c r="H24" s="2"/>
      <x:c r="I24" s="2" t="str">
        <x:v>retire</x:v>
      </x:c>
      <x:c r="J24" s="2" t="n">
        <x:f>COUNTIF('Service Role Debt'!$B$2:$B$24,I24)</x:f>
        <x:v>0</x:v>
      </x:c>
    </x:row>
    <x:row r="25" ht="25" customHeight="1">
      <x:c r="A25" s="2" t="str">
        <x:f>'Launch Gates'!A13</x:f>
        <x:v>LG-12</x:v>
      </x:c>
      <x:c r="B25" s="3" t="str">
        <x:f>'Launch Gates'!B13</x:f>
        <x:v>Admin to Worker journey passes</x:v>
      </x:c>
      <x:c r="C25" s="2" t="str">
        <x:f>'Launch Gates'!J13</x:f>
        <x:v>not_verified</x:v>
      </x:c>
      <x:c r="D25" s="2" t="str">
        <x:f>'Launch Gates'!I13</x:f>
        <x:v>Product QA</x:v>
      </x:c>
      <x:c r="E25" s="2"/>
      <x:c r="F25" s="2" t="str">
        <x:v>reproduced</x:v>
      </x:c>
      <x:c r="G25" s="2" t="n">
        <x:f>COUNTIF('Workflows'!$F$2:$F$21,F25)</x:f>
        <x:v>0</x:v>
      </x:c>
      <x:c r="H25" s="2"/>
      <x:c r="I25" s="2"/>
      <x:c r="J25" s="2"/>
    </x:row>
    <x:row r="26" ht="25" customHeight="1">
      <x:c r="A26" s="2" t="str">
        <x:f>'Launch Gates'!A14</x:f>
        <x:v>LG-13</x:v>
      </x:c>
      <x:c r="B26" s="3" t="str">
        <x:f>'Launch Gates'!B14</x:f>
        <x:v>Admin to Artist journey passes</x:v>
      </x:c>
      <x:c r="C26" s="2" t="str">
        <x:f>'Launch Gates'!J14</x:f>
        <x:v>not_verified</x:v>
      </x:c>
      <x:c r="D26" s="2" t="str">
        <x:f>'Launch Gates'!I14</x:f>
        <x:v>Product QA</x:v>
      </x:c>
      <x:c r="E26" s="2"/>
      <x:c r="F26" s="2" t="str">
        <x:v>in_progress</x:v>
      </x:c>
      <x:c r="G26" s="2" t="n">
        <x:f>COUNTIF('Workflows'!$F$2:$F$21,F26)</x:f>
        <x:v>2</x:v>
      </x:c>
      <x:c r="H26" s="2"/>
      <x:c r="I26" s="2"/>
      <x:c r="J26" s="2"/>
    </x:row>
    <x:row r="27" ht="25" customHeight="1">
      <x:c r="A27" s="2" t="str">
        <x:f>'Launch Gates'!A15</x:f>
        <x:v>LG-14</x:v>
      </x:c>
      <x:c r="B27" s="3" t="str">
        <x:f>'Launch Gates'!B15</x:f>
        <x:v>Canonical event lifecycle passes</x:v>
      </x:c>
      <x:c r="C27" s="2" t="str">
        <x:f>'Launch Gates'!J15</x:f>
        <x:v>not_verified</x:v>
      </x:c>
      <x:c r="D27" s="2" t="str">
        <x:f>'Launch Gates'!I15</x:f>
        <x:v>Product and data</x:v>
      </x:c>
      <x:c r="E27" s="2"/>
      <x:c r="F27" s="2" t="str">
        <x:v>implemented</x:v>
      </x:c>
      <x:c r="G27" s="2" t="n">
        <x:f>COUNTIF('Workflows'!$F$2:$F$21,F27)</x:f>
        <x:v>0</x:v>
      </x:c>
      <x:c r="H27" s="2"/>
      <x:c r="I27" s="2"/>
      <x:c r="J27" s="2"/>
    </x:row>
    <x:row r="28" ht="25" customHeight="1">
      <x:c r="A28" s="2" t="str">
        <x:f>'Launch Gates'!A16</x:f>
        <x:v>LG-15</x:v>
      </x:c>
      <x:c r="B28" s="3" t="str">
        <x:f>'Launch Gates'!B16</x:f>
        <x:v>Multi-organization switching and revocation pass</x:v>
      </x:c>
      <x:c r="C28" s="2" t="str">
        <x:f>'Launch Gates'!J16</x:f>
        <x:v>not_verified</x:v>
      </x:c>
      <x:c r="D28" s="2" t="str">
        <x:f>'Launch Gates'!I16</x:f>
        <x:v>Security QA</x:v>
      </x:c>
      <x:c r="E28" s="2"/>
      <x:c r="F28" s="2" t="str">
        <x:v>ready_for_staging</x:v>
      </x:c>
      <x:c r="G28" s="2" t="n">
        <x:f>COUNTIF('Workflows'!$F$2:$F$21,F28)</x:f>
        <x:v>0</x:v>
      </x:c>
      <x:c r="H28" s="2"/>
      <x:c r="I28" s="2"/>
      <x:c r="J28" s="2"/>
    </x:row>
    <x:row r="29" ht="25" customHeight="1">
      <x:c r="A29" s="2" t="str">
        <x:f>'Launch Gates'!A17</x:f>
        <x:v>LG-16</x:v>
      </x:c>
      <x:c r="B29" s="3" t="str">
        <x:f>'Launch Gates'!B17</x:f>
        <x:v>Navigation, accessibility, and responsive acceptance</x:v>
      </x:c>
      <x:c r="C29" s="2" t="str">
        <x:f>'Launch Gates'!J17</x:f>
        <x:v>not_verified</x:v>
      </x:c>
      <x:c r="D29" s="2" t="str">
        <x:f>'Launch Gates'!I17</x:f>
        <x:v>Product QA</x:v>
      </x:c>
      <x:c r="E29" s="2"/>
      <x:c r="F29" s="2" t="str">
        <x:v>ready_for_independent_verification</x:v>
      </x:c>
      <x:c r="G29" s="2" t="n">
        <x:f>COUNTIF('Workflows'!$F$2:$F$21,F29)</x:f>
        <x:v>0</x:v>
      </x:c>
      <x:c r="H29" s="2"/>
      <x:c r="I29" s="2"/>
      <x:c r="J29" s="2"/>
    </x:row>
    <x:row r="30" ht="25" customHeight="1">
      <x:c r="A30" s="2" t="str">
        <x:f>'Launch Gates'!A18</x:f>
        <x:v>LG-17</x:v>
      </x:c>
      <x:c r="B30" s="3" t="str">
        <x:f>'Launch Gates'!B18</x:f>
        <x:v>Performance and reliability acceptance</x:v>
      </x:c>
      <x:c r="C30" s="2" t="str">
        <x:f>'Launch Gates'!J18</x:f>
        <x:v>not_verified</x:v>
      </x:c>
      <x:c r="D30" s="2" t="str">
        <x:f>'Launch Gates'!I18</x:f>
        <x:v>Reliability</x:v>
      </x:c>
      <x:c r="E30" s="2"/>
      <x:c r="F30" s="2" t="str">
        <x:v>done</x:v>
      </x:c>
      <x:c r="G30" s="2" t="n">
        <x:f>COUNTIF('Workflows'!$F$2:$F$21,F30)</x:f>
        <x:v>0</x:v>
      </x:c>
      <x:c r="H30" s="2"/>
      <x:c r="I30" s="2"/>
      <x:c r="J30" s="2"/>
    </x:row>
    <x:row r="31" ht="25" customHeight="1">
      <x:c r="A31" s="2" t="str">
        <x:f>'Launch Gates'!A19</x:f>
        <x:v>LG-18</x:v>
      </x:c>
      <x:c r="B31" s="3" t="str">
        <x:f>'Launch Gates'!B19</x:f>
        <x:v>Final release decision recorded</x:v>
      </x:c>
      <x:c r="C31" s="2" t="str">
        <x:f>'Launch Gates'!J19</x:f>
        <x:v>not_verified</x:v>
      </x:c>
      <x:c r="D31" s="2" t="str">
        <x:f>'Launch Gates'!I19</x:f>
        <x:v>Release authority</x:v>
      </x:c>
      <x:c r="E31" s="2"/>
      <x:c r="F31" s="2"/>
      <x:c r="G31" s="2"/>
      <x:c r="H31" s="2"/>
      <x:c r="I31" s="2"/>
      <x:c r="J31" s="2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B8"/>
    <x:mergeCell ref="A9:B10"/>
    <x:mergeCell ref="C8:D8"/>
    <x:mergeCell ref="C9:D10"/>
    <x:mergeCell ref="E8:F8"/>
    <x:mergeCell ref="E9:F10"/>
    <x:mergeCell ref="G8:H8"/>
    <x:mergeCell ref="G9:H10"/>
    <x:mergeCell ref="I8:J8"/>
    <x:mergeCell ref="I9:J10"/>
    <x:mergeCell ref="A12:D12"/>
    <x:mergeCell ref="F12:G12"/>
    <x:mergeCell ref="F22:G22"/>
    <x:mergeCell ref="I12:J12"/>
    <x:mergeCell ref="I19:J19"/>
  </x:mergeCells>
  <x:conditionalFormatting sqref="A5:A5">
    <x:cfRule type="expression" dxfId="54" priority="1">
      <x:formula>A5="NO-GO"</x:formula>
    </x:cfRule>
  </x:conditionalFormatting>
  <x:conditionalFormatting sqref="C14:C31">
    <x:cfRule type="containsText" dxfId="55" priority="2" operator="containsText" text="done"/>
    <x:cfRule type="containsText" dxfId="56" priority="3" operator="containsText" text="implemented"/>
    <x:cfRule type="containsText" dxfId="57" priority="4" operator="containsText" text="ready_for_independent_verification"/>
    <x:cfRule type="containsText" dxfId="58" priority="5" operator="containsText" text="ready_for_staging"/>
    <x:cfRule type="containsText" dxfId="59" priority="6" operator="containsText" text="in_progress"/>
    <x:cfRule type="containsText" dxfId="60" priority="7" operator="containsText" text="reproduced"/>
    <x:cfRule type="containsText" dxfId="61" priority="8" operator="containsText" text="observed"/>
    <x:cfRule type="containsText" dxfId="62" priority="9" operator="containsText" text="not_verified"/>
    <x:cfRule type="containsText" dxfId="63" priority="10" operator="containsText" text="evidence_complete"/>
  </x:conditionalFormatting>
  <x:conditionalFormatting sqref="F14:F20">
    <x:cfRule type="containsText" dxfId="64" priority="11" operator="containsText" text="done"/>
    <x:cfRule type="containsText" dxfId="65" priority="12" operator="containsText" text="implemented"/>
    <x:cfRule type="containsText" dxfId="66" priority="13" operator="containsText" text="ready_for_independent_verification"/>
    <x:cfRule type="containsText" dxfId="67" priority="14" operator="containsText" text="ready_for_staging"/>
    <x:cfRule type="containsText" dxfId="68" priority="15" operator="containsText" text="in_progress"/>
    <x:cfRule type="containsText" dxfId="69" priority="16" operator="containsText" text="reproduced"/>
    <x:cfRule type="containsText" dxfId="70" priority="17" operator="containsText" text="observed"/>
    <x:cfRule type="containsText" dxfId="71" priority="18" operator="containsText" text="not_verified"/>
    <x:cfRule type="containsText" dxfId="72" priority="19" operator="containsText" text="evidence_complete"/>
  </x:conditionalFormatting>
  <x:conditionalFormatting sqref="F24:F30">
    <x:cfRule type="containsText" dxfId="73" priority="20" operator="containsText" text="done"/>
    <x:cfRule type="containsText" dxfId="74" priority="21" operator="containsText" text="implemented"/>
    <x:cfRule type="containsText" dxfId="75" priority="22" operator="containsText" text="ready_for_independent_verification"/>
    <x:cfRule type="containsText" dxfId="76" priority="23" operator="containsText" text="ready_for_staging"/>
    <x:cfRule type="containsText" dxfId="77" priority="24" operator="containsText" text="in_progress"/>
    <x:cfRule type="containsText" dxfId="78" priority="25" operator="containsText" text="reproduced"/>
    <x:cfRule type="containsText" dxfId="79" priority="26" operator="containsText" text="observed"/>
    <x:cfRule type="containsText" dxfId="80" priority="27" operator="containsText" text="not_verified"/>
    <x:cfRule type="containsText" dxfId="81" priority="28" operator="containsText" text="evidence_complete"/>
  </x:conditionalFormatting>
  <x:conditionalFormatting sqref="I14:I17">
    <x:cfRule type="containsText" dxfId="82" priority="29" operator="containsText" text="P0"/>
    <x:cfRule type="containsText" dxfId="83" priority="30" operator="containsText" text="P1"/>
    <x:cfRule type="containsText" dxfId="84" priority="31" operator="containsText" text="P2"/>
    <x:cfRule type="containsText" dxfId="85" priority="32" operator="containsText" text="P3"/>
  </x:conditionalFormatting>
  <x:pageMargins left="0.7" right="0.7" top="0.75" bottom="0.75" header="0.3" footer="0.3"/>
  <x:tableParts count="5">
    <x:tablePart xmlns:r="http://schemas.openxmlformats.org/officeDocument/2006/relationships" r:id="R5e176c6fc9184a81"/>
    <x:tablePart xmlns:r="http://schemas.openxmlformats.org/officeDocument/2006/relationships" r:id="R707201d78ef44d85"/>
    <x:tablePart xmlns:r="http://schemas.openxmlformats.org/officeDocument/2006/relationships" r:id="R4887867c656842e1"/>
    <x:tablePart xmlns:r="http://schemas.openxmlformats.org/officeDocument/2006/relationships" r:id="R220c144099f9406c"/>
    <x:tablePart xmlns:r="http://schemas.openxmlformats.org/officeDocument/2006/relationships" r:id="R3577ede251db4b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10" hidden="0" customWidth="1"/>
    <x:col min="4" max="4" width="18" hidden="0" customWidth="1"/>
    <x:col min="5" max="5" width="24" hidden="0" customWidth="1"/>
    <x:col min="6" max="6" width="8" hidden="0" customWidth="1"/>
    <x:col min="7" max="7" width="30" hidden="0" customWidth="1"/>
    <x:col min="8" max="8" width="46" hidden="0" customWidth="1"/>
    <x:col min="9" max="9" width="48" hidden="0" customWidth="1"/>
    <x:col min="10" max="10" width="25" hidden="0" customWidth="1"/>
    <x:col min="11" max="11" width="22" hidden="0" customWidth="1"/>
    <x:col min="12" max="12" width="20" hidden="0" customWidth="1"/>
    <x:col min="13" max="13" width="34" hidden="0" customWidth="1"/>
  </x:cols>
  <x:sheetData>
    <x:row r="1" ht="30" customHeight="1">
      <x:c r="A1" s="9" t="str">
        <x:v>Finding ID</x:v>
      </x:c>
      <x:c r="B1" s="9" t="str">
        <x:v>Kind</x:v>
      </x:c>
      <x:c r="C1" s="9" t="str">
        <x:v>Priority</x:v>
      </x:c>
      <x:c r="D1" s="9" t="str">
        <x:v>State</x:v>
      </x:c>
      <x:c r="E1" s="9" t="str">
        <x:v>Domain</x:v>
      </x:c>
      <x:c r="F1" s="9" t="str">
        <x:v>Wave</x:v>
      </x:c>
      <x:c r="G1" s="9" t="str">
        <x:v>Status</x:v>
      </x:c>
      <x:c r="H1" s="9" t="str">
        <x:v>Title</x:v>
      </x:c>
      <x:c r="I1" s="9" t="str">
        <x:v>Solution</x:v>
      </x:c>
      <x:c r="J1" s="9" t="str">
        <x:v>Workflows</x:v>
      </x:c>
      <x:c r="K1" s="9" t="str">
        <x:v>Owner</x:v>
      </x:c>
      <x:c r="L1" s="9" t="str">
        <x:v>Blockers</x:v>
      </x:c>
      <x:c r="M1" s="9" t="str">
        <x:v>Evidence</x:v>
      </x:c>
    </x:row>
    <x:row r="2" ht="43" customHeight="1">
      <x:c r="A2" s="10" t="str">
        <x:v>ADM-M-001</x:v>
      </x:c>
      <x:c r="B2" s="10" t="str">
        <x:v>product_or_technical</x:v>
      </x:c>
      <x:c r="C2" s="10" t="str">
        <x:v>P0</x:v>
      </x:c>
      <x:c r="D2" s="10" t="str">
        <x:v>broken</x:v>
      </x:c>
      <x:c r="E2" s="10" t="str">
        <x:v>Build / CI</x:v>
      </x:c>
      <x:c r="F2" s="11" t="n">
        <x:v>0</x:v>
      </x:c>
      <x:c r="G2" s="10" t="str">
        <x:v>reproduced</x:v>
      </x:c>
      <x:c r="H2" s="10" t="str">
        <x:v>Typecheck fails; next build impossible (app/venue/equipment/page.tsx syntax error :557/:1138)</x:v>
      </x:c>
      <x:c r="I2" s="10" t="str">
        <x:v>Fix file; make typecheck a CI merge gate</x:v>
      </x:c>
      <x:c r="J2" s="10" t="str">
        <x:v>ADM-WF-017</x:v>
      </x:c>
      <x:c r="K2" s="10" t="str">
        <x:v>Engineering</x:v>
      </x:c>
      <x:c r="L2" s="10" t="str"/>
      <x:c r="M2" s="10" t="str">
        <x:v>EVD-WAVE0-TYPECHECK-LOCAL-FAIL</x:v>
      </x:c>
    </x:row>
    <x:row r="3" ht="43" customHeight="1">
      <x:c r="A3" s="10" t="str">
        <x:v>ADM-M-002</x:v>
      </x:c>
      <x:c r="B3" s="10" t="str">
        <x:v>product_or_technical</x:v>
      </x:c>
      <x:c r="C3" s="10" t="str">
        <x:v>P0</x:v>
      </x:c>
      <x:c r="D3" s="10" t="str">
        <x:v>security</x:v>
      </x:c>
      <x:c r="E3" s="10" t="str">
        <x:v>Security / Authorization</x:v>
      </x:c>
      <x:c r="F3" s="11" t="n">
        <x:v>1</x:v>
      </x:c>
      <x:c r="G3" s="10" t="str">
        <x:v>observed</x:v>
      </x:c>
      <x:c r="H3" s="10" t="str">
        <x:v>Authenticated-wide RLS on financial_transactions, budgets, equipment_*, workflow_*, travel/lodging family = cross-org read/write</x:v>
      </x:c>
      <x:c r="I3" s="10" t="str">
        <x:v>Org-scoped policies (pattern: work_mode_publications); extend REL-101 matrix</x:v>
      </x:c>
      <x:c r="J3" s="10" t="str">
        <x:v>ADM-WF-013; ADM-WF-014; ADM-WF-019</x:v>
      </x:c>
      <x:c r="K3" s="10"/>
      <x:c r="L3" s="10" t="str"/>
      <x:c r="M3" s="10" t="str"/>
    </x:row>
    <x:row r="4" ht="43" customHeight="1">
      <x:c r="A4" s="10" t="str">
        <x:v>ADM-M-003</x:v>
      </x:c>
      <x:c r="B4" s="10" t="str">
        <x:v>product_or_technical</x:v>
      </x:c>
      <x:c r="C4" s="10" t="str">
        <x:v>P0</x:v>
      </x:c>
      <x:c r="D4" s="10" t="str">
        <x:v>security</x:v>
      </x:c>
      <x:c r="E4" s="10" t="str">
        <x:v>Security / Authorization</x:v>
      </x:c>
      <x:c r="F4" s="11" t="n">
        <x:v>1</x:v>
      </x:c>
      <x:c r="G4" s="10" t="str">
        <x:v>observed</x:v>
      </x:c>
      <x:c r="H4" s="10" t="str">
        <x:v>Self-service admin escalation: surface gate accepts profiles.account_type/is_admin/organizer_data; owner-update RLS unguarded</x:v>
      </x:c>
      <x:c r="I4" s="10" t="str">
        <x:v>Gate admin on org_members+grants only; DB trigger blocking self-elevation; runtime repro NEEDS_VERIFICATION</x:v>
      </x:c>
      <x:c r="J4" s="10" t="str">
        <x:v>ADM-WF-001; ADM-WF-002; ADM-WF-018</x:v>
      </x:c>
      <x:c r="K4" s="10"/>
      <x:c r="L4" s="10" t="str"/>
      <x:c r="M4" s="10" t="str"/>
    </x:row>
    <x:row r="5" ht="43" customHeight="1">
      <x:c r="A5" s="10" t="str">
        <x:v>ADM-M-004</x:v>
      </x:c>
      <x:c r="B5" s="10" t="str">
        <x:v>product_or_technical</x:v>
      </x:c>
      <x:c r="C5" s="10" t="str">
        <x:v>P1</x:v>
      </x:c>
      <x:c r="D5" s="10" t="str">
        <x:v>data_integrity</x:v>
      </x:c>
      <x:c r="E5" s="10" t="str">
        <x:v>Tours / Events / Artists</x:v>
      </x:c>
      <x:c r="F5" s="11" t="n">
        <x:v>2</x:v>
      </x:c>
      <x:c r="G5" s="10" t="str">
        <x:v>observed</x:v>
      </x:c>
      <x:c r="H5" s="10" t="str">
        <x:v>Two disjoint event universes: legacy events (sync/claims/artist flows) vs canonical events_v2 (tours/calendar) with no bridge</x:v>
      </x:c>
      <x:c r="I5" s="10" t="str">
        <x:v>Pick canonical table or build documented sync bridge</x:v>
      </x:c>
      <x:c r="J5" s="10" t="str">
        <x:v>ADM-WF-003; ADM-WF-004; ADM-WF-005</x:v>
      </x:c>
      <x:c r="K5" s="10"/>
      <x:c r="L5" s="10" t="str"/>
      <x:c r="M5" s="10" t="str"/>
    </x:row>
    <x:row r="6" ht="43" customHeight="1">
      <x:c r="A6" s="10" t="str">
        <x:v>ADM-M-005</x:v>
      </x:c>
      <x:c r="B6" s="10" t="str">
        <x:v>product_or_technical</x:v>
      </x:c>
      <x:c r="C6" s="10" t="str">
        <x:v>P1</x:v>
      </x:c>
      <x:c r="D6" s="10" t="str">
        <x:v>missing</x:v>
      </x:c>
      <x:c r="E6" s="10" t="str">
        <x:v>Tours / Events / Artists</x:v>
      </x:c>
      <x:c r="F6" s="11" t="n">
        <x:v>2</x:v>
      </x:c>
      <x:c r="G6" s="10" t="str">
        <x:v>observed</x:v>
      </x:c>
      <x:c r="H6" s="10" t="str">
        <x:v>Artist assignment propagation absent: 3 rosters (organization_artist_members, tour_artists, event_participants) never linked</x:v>
      </x:c>
      <x:c r="I6" s="10" t="str">
        <x:v>Wire assignment to surfaces artist dashboard reads</x:v>
      </x:c>
      <x:c r="J6" s="10" t="str">
        <x:v>ADM-WF-006</x:v>
      </x:c>
      <x:c r="K6" s="10"/>
      <x:c r="L6" s="10" t="str"/>
      <x:c r="M6" s="10" t="str"/>
    </x:row>
    <x:row r="7" ht="43" customHeight="1">
      <x:c r="A7" s="10" t="str">
        <x:v>ADM-M-006</x:v>
      </x:c>
      <x:c r="B7" s="10" t="str">
        <x:v>product_or_technical</x:v>
      </x:c>
      <x:c r="C7" s="10" t="str">
        <x:v>P1</x:v>
      </x:c>
      <x:c r="D7" s="10" t="str">
        <x:v>security</x:v>
      </x:c>
      <x:c r="E7" s="10" t="str">
        <x:v>Workforce / Hiring</x:v>
      </x:c>
      <x:c r="F7" s="11" t="n">
        <x:v>3</x:v>
      </x:c>
      <x:c r="G7" s="10" t="str">
        <x:v>observed</x:v>
      </x:c>
      <x:c r="H7" s="10" t="str">
        <x:v>Shift publish skips permission checks for org shifts (null venue_id bypasses loop)</x:v>
      </x:c>
      <x:c r="I7" s="10" t="str">
        <x:v>Check org authority when venue_id null</x:v>
      </x:c>
      <x:c r="J7" s="10" t="str">
        <x:v>ADM-WF-008</x:v>
      </x:c>
      <x:c r="K7" s="10"/>
      <x:c r="L7" s="10" t="str"/>
      <x:c r="M7" s="10" t="str"/>
    </x:row>
    <x:row r="8" ht="43" customHeight="1">
      <x:c r="A8" s="10" t="str">
        <x:v>ADM-M-007</x:v>
      </x:c>
      <x:c r="B8" s="10" t="str">
        <x:v>product_or_technical</x:v>
      </x:c>
      <x:c r="C8" s="10" t="str">
        <x:v>P1</x:v>
      </x:c>
      <x:c r="D8" s="10" t="str">
        <x:v>security</x:v>
      </x:c>
      <x:c r="E8" s="10" t="str">
        <x:v>Admin Platform</x:v>
      </x:c>
      <x:c r="F8" s="11" t="n">
        <x:v>4</x:v>
      </x:c>
      <x:c r="G8" s="10" t="str">
        <x:v>observed</x:v>
      </x:c>
      <x:c r="H8" s="10" t="str">
        <x:v>Artists API globally unscoped; POST upsert clobbers existing profiles by email; DELETE callable w/o UI</x:v>
      </x:c>
      <x:c r="I8" s="10" t="str">
        <x:v>Scope by acting org; replace upsert; remove/guard delete</x:v>
      </x:c>
      <x:c r="J8" s="10" t="str">
        <x:v>ADM-WF-009</x:v>
      </x:c>
      <x:c r="K8" s="10"/>
      <x:c r="L8" s="10" t="str"/>
      <x:c r="M8" s="10" t="str"/>
    </x:row>
    <x:row r="9" ht="43" customHeight="1">
      <x:c r="A9" s="10" t="str">
        <x:v>ADM-M-008</x:v>
      </x:c>
      <x:c r="B9" s="10" t="str">
        <x:v>product_or_technical</x:v>
      </x:c>
      <x:c r="C9" s="10" t="str">
        <x:v>P1</x:v>
      </x:c>
      <x:c r="D9" s="10" t="str">
        <x:v>security</x:v>
      </x:c>
      <x:c r="E9" s="10" t="str">
        <x:v>Navigation / IA</x:v>
      </x:c>
      <x:c r="F9" s="11" t="n">
        <x:v>4</x:v>
      </x:c>
      <x:c r="G9" s="10" t="str">
        <x:v>observed</x:v>
      </x:c>
      <x:c r="H9" s="10" t="str">
        <x:v>Venues admin API cross-org leak via venue_name joins; no org linkage; grid uses public search API</x:v>
      </x:c>
      <x:c r="I9" s="10" t="str">
        <x:v>Structural FK to org/event; scope queries</x:v>
      </x:c>
      <x:c r="J9" s="10" t="str">
        <x:v>ADM-WF-010</x:v>
      </x:c>
      <x:c r="K9" s="10"/>
      <x:c r="L9" s="10" t="str"/>
      <x:c r="M9" s="10" t="str"/>
    </x:row>
    <x:row r="10" ht="43" customHeight="1">
      <x:c r="A10" s="10" t="str">
        <x:v>ADM-M-009</x:v>
      </x:c>
      <x:c r="B10" s="10" t="str">
        <x:v>product_or_technical</x:v>
      </x:c>
      <x:c r="C10" s="10" t="str">
        <x:v>P1</x:v>
      </x:c>
      <x:c r="D10" s="10" t="str">
        <x:v>missing</x:v>
      </x:c>
      <x:c r="E10" s="10" t="str">
        <x:v>Tours / Events / Artists</x:v>
      </x:c>
      <x:c r="F10" s="11" t="n">
        <x:v>2</x:v>
      </x:c>
      <x:c r="G10" s="10" t="str">
        <x:v>observed</x:v>
      </x:c>
      <x:c r="H10" s="10" t="str">
        <x:v>Event publish/provision/tour-assignments endpoints have zero UI callers; status dropdown may shortcut readiness</x:v>
      </x:c>
      <x:c r="I10" s="10" t="str">
        <x:v>Build UI wiring or remove endpoints</x:v>
      </x:c>
      <x:c r="J10" s="10" t="str">
        <x:v>ADM-WF-004; ADM-WF-005</x:v>
      </x:c>
      <x:c r="K10" s="10"/>
      <x:c r="L10" s="10" t="str"/>
      <x:c r="M10" s="10" t="str"/>
    </x:row>
    <x:row r="11" ht="43" customHeight="1">
      <x:c r="A11" s="10" t="str">
        <x:v>ADM-M-010</x:v>
      </x:c>
      <x:c r="B11" s="10" t="str">
        <x:v>product_or_technical</x:v>
      </x:c>
      <x:c r="C11" s="10" t="str">
        <x:v>P1</x:v>
      </x:c>
      <x:c r="D11" s="10" t="str">
        <x:v>data_integrity</x:v>
      </x:c>
      <x:c r="E11" s="10" t="str">
        <x:v>Tours / Events / Artists</x:v>
      </x:c>
      <x:c r="F11" s="11" t="n">
        <x:v>4</x:v>
      </x:c>
      <x:c r="G11" s="10" t="str">
        <x:v>reproduced</x:v>
      </x:c>
      <x:c r="H11" s="10" t="str">
        <x:v>Core DDL only in migration-archive (admin_publication_outbox, message-attachments bucket, tour_versions/tour_stops); phantom tables queried: contracts, vendor_contracts, tour_plan_quarantine, admin_requests, catering</x:v>
      </x:c>
      <x:c r="I11" s="10" t="str">
        <x:v>Promote DDL to active migrations; create or stop querying phantom tables</x:v>
      </x:c>
      <x:c r="J11" s="10" t="str">
        <x:v>ADM-WF-005; ADM-WF-013; ADM-WF-015; ADM-WF-019</x:v>
      </x:c>
      <x:c r="K11" s="10" t="str">
        <x:v>Database platform</x:v>
      </x:c>
      <x:c r="L11" s="10" t="str">
        <x:v>ADM-M-010-ACTIVE-DDL</x:v>
      </x:c>
      <x:c r="M11" s="10" t="str">
        <x:v>EVD-SEC104-LOGISTICS-DDL-LOCAL-FAIL</x:v>
      </x:c>
    </x:row>
    <x:row r="12" ht="43" customHeight="1">
      <x:c r="A12" s="10" t="str">
        <x:v>ADM-M-011</x:v>
      </x:c>
      <x:c r="B12" s="10" t="str">
        <x:v>product_or_technical</x:v>
      </x:c>
      <x:c r="C12" s="10" t="str">
        <x:v>P1</x:v>
      </x:c>
      <x:c r="D12" s="10" t="str">
        <x:v>security</x:v>
      </x:c>
      <x:c r="E12" s="10" t="str">
        <x:v>Operations / Communications</x:v>
      </x:c>
      <x:c r="F12" s="11" t="n">
        <x:v>4</x:v>
      </x:c>
      <x:c r="G12" s="10" t="str">
        <x:v>observed</x:v>
      </x:c>
      <x:c r="H12" s="10" t="str">
        <x:v>message-attachments bucket world-readable + getPublicUrl in inbox; site-map images public; zero org-scoped storage policies</x:v>
      </x:c>
      <x:c r="I12" s="10" t="str">
        <x:v>Private buckets + signed URLs for chat/docs</x:v>
      </x:c>
      <x:c r="J12" s="10" t="str">
        <x:v>ADM-WF-011; ADM-WF-013</x:v>
      </x:c>
      <x:c r="K12" s="10"/>
      <x:c r="L12" s="10" t="str"/>
      <x:c r="M12" s="10" t="str"/>
    </x:row>
    <x:row r="13" ht="43" customHeight="1">
      <x:c r="A13" s="10" t="str">
        <x:v>ADM-M-012</x:v>
      </x:c>
      <x:c r="B13" s="10" t="str">
        <x:v>product_or_technical</x:v>
      </x:c>
      <x:c r="C13" s="10" t="str">
        <x:v>P1</x:v>
      </x:c>
      <x:c r="D13" s="10" t="str">
        <x:v>security</x:v>
      </x:c>
      <x:c r="E13" s="10" t="str">
        <x:v>Security / Authorization</x:v>
      </x:c>
      <x:c r="F13" s="11" t="n">
        <x:v>1</x:v>
      </x:c>
      <x:c r="G13" s="10" t="str">
        <x:v>observed</x:v>
      </x:c>
      <x:c r="H13" s="10" t="str">
        <x:v>tour_events RLS insert/update/delete accept is_tour_owner alone - cross-org event attach possible via direct API</x:v>
      </x:c>
      <x:c r="I13" s="10" t="str">
        <x:v>Require event org match in WITH CHECK even for tour owners</x:v>
      </x:c>
      <x:c r="J13" s="10" t="str">
        <x:v>ADM-WF-005</x:v>
      </x:c>
      <x:c r="K13" s="10"/>
      <x:c r="L13" s="10" t="str"/>
      <x:c r="M13" s="10" t="str"/>
    </x:row>
    <x:row r="14" ht="43" customHeight="1">
      <x:c r="A14" s="10" t="str">
        <x:v>ADM-M-013</x:v>
      </x:c>
      <x:c r="B14" s="10" t="str">
        <x:v>product_or_technical</x:v>
      </x:c>
      <x:c r="C14" s="10" t="str">
        <x:v>P1</x:v>
      </x:c>
      <x:c r="D14" s="10" t="str">
        <x:v>broken</x:v>
      </x:c>
      <x:c r="E14" s="10" t="str">
        <x:v>Build / CI</x:v>
      </x:c>
      <x:c r="F14" s="11" t="n">
        <x:v>0</x:v>
      </x:c>
      <x:c r="G14" s="10" t="str">
        <x:v>in_progress</x:v>
      </x:c>
      <x:c r="H14" s="10" t="str">
        <x:v>Both security CI gates red: route registry 11+ unclassified (legacy ceiling 122/122); service-role allowlist 38 new bare imports</x:v>
      </x:c>
      <x:c r="I14" s="10" t="str">
        <x:v>Classify routes; migrate to executeServiceRoleJob or justify inventory</x:v>
      </x:c>
      <x:c r="J14" s="10" t="str">
        <x:v>ADM-WF-017; ADM-WF-019</x:v>
      </x:c>
      <x:c r="K14" s="10" t="str">
        <x:v>Security engineering</x:v>
      </x:c>
      <x:c r="L14" s="10" t="str"/>
      <x:c r="M14" s="10" t="str">
        <x:v>EVD-WAVE0-CONTROLS-COMMIT; EVD-WAVE0-ROUTE-REGISTRY-LOCAL; EVD-WAVE0-SERVICE-ROLE-LOCAL; EVD-SEC104-SITEMAP-COMMIT; EVD-SEC104-SITEMAP-LOCAL; EVD-SEC104-SITEMAP-ACTING-COMMIT; EVD-SEC104-SITEMAP-ACTING-LOCAL; EVD-SEC104-SITEMAP-COLLAB-COMMIT; EVD-SEC104-SITEMAP-COLLAB-LOCAL; EVD-SEC104-SITEMAP-ELEMENTS-COMMIT; EVD-SEC104-SITEMAP-ELEMENTS-LOCAL; EVD-SEC104-SITEMAP-ELEMENTS-RLS-LOCAL</x:v>
      </x:c>
    </x:row>
    <x:row r="15" ht="43" customHeight="1">
      <x:c r="A15" s="10" t="str">
        <x:v>ADM-M-014</x:v>
      </x:c>
      <x:c r="B15" s="10" t="str">
        <x:v>product_or_technical</x:v>
      </x:c>
      <x:c r="C15" s="10" t="str">
        <x:v>P1</x:v>
      </x:c>
      <x:c r="D15" s="10" t="str">
        <x:v>missing</x:v>
      </x:c>
      <x:c r="E15" s="10" t="str">
        <x:v>Workforce / Hiring</x:v>
      </x:c>
      <x:c r="F15" s="11" t="n">
        <x:v>3</x:v>
      </x:c>
      <x:c r="G15" s="10" t="str">
        <x:v>observed</x:v>
      </x:c>
      <x:c r="H15" s="10" t="str">
        <x:v>Hiring/onboarding invites never send email (token returned to admin UI only); Resend wired only for contracts</x:v>
      </x:c>
      <x:c r="I15" s="10" t="str">
        <x:v>Integrate Resend delivery into invite paths</x:v>
      </x:c>
      <x:c r="J15" s="10" t="str">
        <x:v>ADM-WF-007; ADM-WF-012</x:v>
      </x:c>
      <x:c r="K15" s="10"/>
      <x:c r="L15" s="10" t="str"/>
      <x:c r="M15" s="10" t="str"/>
    </x:row>
    <x:row r="16" ht="43" customHeight="1">
      <x:c r="A16" s="10" t="str">
        <x:v>ADM-M-015</x:v>
      </x:c>
      <x:c r="B16" s="10" t="str">
        <x:v>product_or_technical</x:v>
      </x:c>
      <x:c r="C16" s="10" t="str">
        <x:v>P1</x:v>
      </x:c>
      <x:c r="D16" s="10" t="str">
        <x:v>broken</x:v>
      </x:c>
      <x:c r="E16" s="10" t="str">
        <x:v>Workforce / Hiring</x:v>
      </x:c>
      <x:c r="F16" s="11" t="n">
        <x:v>3</x:v>
      </x:c>
      <x:c r="G16" s="10" t="str">
        <x:v>observed</x:v>
      </x:c>
      <x:c r="H16" s="10" t="str">
        <x:v>Onboarding workflows/advance accepts arbitrary new_stage without ordering guard or employer scoping</x:v>
      </x:c>
      <x:c r="I16" s="10" t="str">
        <x:v>Validate stage transitions; requireAdminCapability per employer</x:v>
      </x:c>
      <x:c r="J16" s="10" t="str">
        <x:v>ADM-WF-007</x:v>
      </x:c>
      <x:c r="K16" s="10"/>
      <x:c r="L16" s="10" t="str"/>
      <x:c r="M16" s="10" t="str"/>
    </x:row>
    <x:row r="17" ht="43" customHeight="1">
      <x:c r="A17" s="10" t="str">
        <x:v>ADM-M-016</x:v>
      </x:c>
      <x:c r="B17" s="10" t="str">
        <x:v>product_or_technical</x:v>
      </x:c>
      <x:c r="C17" s="10" t="str">
        <x:v>P2</x:v>
      </x:c>
      <x:c r="D17" s="10" t="str">
        <x:v>inconsistent</x:v>
      </x:c>
      <x:c r="E17" s="10" t="str">
        <x:v>Security / Authorization</x:v>
      </x:c>
      <x:c r="F17" s="11" t="n">
        <x:v>1</x:v>
      </x:c>
      <x:c r="G17" s="10" t="str">
        <x:v>observed</x:v>
      </x:c>
      <x:c r="H17" s="10" t="str">
        <x:v>org_members.role unconstrained free text; 6 parallel role taxonomies drift</x:v>
      </x:c>
      <x:c r="I17" s="10" t="str">
        <x:v>Constrain role enum; single taxonomy</x:v>
      </x:c>
      <x:c r="J17" s="10" t="str">
        <x:v>ADM-WF-002; ADM-WF-018</x:v>
      </x:c>
      <x:c r="K17" s="10"/>
      <x:c r="L17" s="10" t="str"/>
      <x:c r="M17" s="10" t="str"/>
    </x:row>
    <x:row r="18" ht="43" customHeight="1">
      <x:c r="A18" s="10" t="str">
        <x:v>ADM-M-017</x:v>
      </x:c>
      <x:c r="B18" s="10" t="str">
        <x:v>product_or_technical</x:v>
      </x:c>
      <x:c r="C18" s="10" t="str">
        <x:v>P2</x:v>
      </x:c>
      <x:c r="D18" s="10" t="str">
        <x:v>inconsistent</x:v>
      </x:c>
      <x:c r="E18" s="10" t="str">
        <x:v>Security / Authorization</x:v>
      </x:c>
      <x:c r="F18" s="11" t="n">
        <x:v>1</x:v>
      </x:c>
      <x:c r="G18" s="10" t="str">
        <x:v>observed</x:v>
      </x:c>
      <x:c r="H18" s="10" t="str">
        <x:v>Two divergent capability services (/api/admin/capabilities vs effective-capabilities); DB perm vocabulary disjoint from ADMIN_CAPABILITIES</x:v>
      </x:c>
      <x:c r="I18" s="10" t="str">
        <x:v>Consolidate on SEC-102 model</x:v>
      </x:c>
      <x:c r="J18" s="10" t="str">
        <x:v>ADM-WF-002; ADM-WF-018</x:v>
      </x:c>
      <x:c r="K18" s="10"/>
      <x:c r="L18" s="10" t="str"/>
      <x:c r="M18" s="10" t="str"/>
    </x:row>
    <x:row r="19" ht="43" customHeight="1">
      <x:c r="A19" s="10" t="str">
        <x:v>ADM-M-018</x:v>
      </x:c>
      <x:c r="B19" s="10" t="str">
        <x:v>product_or_technical</x:v>
      </x:c>
      <x:c r="C19" s="10" t="str">
        <x:v>P2</x:v>
      </x:c>
      <x:c r="D19" s="10" t="str">
        <x:v>data_integrity</x:v>
      </x:c>
      <x:c r="E19" s="10" t="str">
        <x:v>Security / Authorization</x:v>
      </x:c>
      <x:c r="F19" s="11" t="n">
        <x:v>1</x:v>
      </x:c>
      <x:c r="G19" s="10" t="str">
        <x:v>observed</x:v>
      </x:c>
      <x:c r="H19" s="10" t="str">
        <x:v>Idempotency-Key enforcement is in-memory Map only; duplicates across serverless instances</x:v>
      </x:c>
      <x:c r="I19" s="10" t="str">
        <x:v>Land SEC-111 durable store</x:v>
      </x:c>
      <x:c r="J19" s="10" t="str">
        <x:v>ADM-WF-017</x:v>
      </x:c>
      <x:c r="K19" s="10"/>
      <x:c r="L19" s="10" t="str"/>
      <x:c r="M19" s="10" t="str"/>
    </x:row>
    <x:row r="20" ht="43" customHeight="1">
      <x:c r="A20" s="10" t="str">
        <x:v>ADM-M-019</x:v>
      </x:c>
      <x:c r="B20" s="10" t="str">
        <x:v>product_or_technical</x:v>
      </x:c>
      <x:c r="C20" s="10" t="str">
        <x:v>P2</x:v>
      </x:c>
      <x:c r="D20" s="10" t="str">
        <x:v>design_debt</x:v>
      </x:c>
      <x:c r="E20" s="10" t="str">
        <x:v>Navigation / IA</x:v>
      </x:c>
      <x:c r="F20" s="11" t="n">
        <x:v>1</x:v>
      </x:c>
      <x:c r="G20" s="10" t="str">
        <x:v>in_progress</x:v>
      </x:c>
      <x:c r="H20" s="10" t="str">
        <x:v>Audit logging: ~6/288 admin route files write audit rows despite central helpers</x:v>
      </x:c>
      <x:c r="I20" s="10" t="str">
        <x:v>Adopt helper in command pipeline / registry contract</x:v>
      </x:c>
      <x:c r="J20" s="10" t="str">
        <x:v>ADM-WF-017</x:v>
      </x:c>
      <x:c r="K20" s="10" t="str">
        <x:v>Security engineering</x:v>
      </x:c>
      <x:c r="L20" s="10" t="str"/>
      <x:c r="M20" s="10" t="str">
        <x:v>EVD-SEC104-SITEMAP-ACTING-COMMIT; EVD-SEC104-SITEMAP-ACTING-LOCAL; EVD-SEC104-SITEMAP-ELEMENTS-COMMIT; EVD-SEC104-SITEMAP-ELEMENTS-LOCAL; EVD-SEC104-SITEMAP-ELEMENTS-RLS-LOCAL</x:v>
      </x:c>
    </x:row>
    <x:row r="21" ht="43" customHeight="1">
      <x:c r="A21" s="10" t="str">
        <x:v>ADM-M-020</x:v>
      </x:c>
      <x:c r="B21" s="10" t="str">
        <x:v>product_or_technical</x:v>
      </x:c>
      <x:c r="C21" s="10" t="str">
        <x:v>P2</x:v>
      </x:c>
      <x:c r="D21" s="10" t="str">
        <x:v>security</x:v>
      </x:c>
      <x:c r="E21" s="10" t="str">
        <x:v>Operations / Communications</x:v>
      </x:c>
      <x:c r="F21" s="11" t="n">
        <x:v>4</x:v>
      </x:c>
      <x:c r="G21" s="10" t="str">
        <x:v>observed</x:v>
      </x:c>
      <x:c r="H21" s="10" t="str">
        <x:v>Client-side Supabase writes bypassing API auth/audit: organizer_accounts settings update; inbox message inserts</x:v>
      </x:c>
      <x:c r="I21" s="10" t="str">
        <x:v>Route through API layer</x:v>
      </x:c>
      <x:c r="J21" s="10" t="str">
        <x:v>ADM-WF-011; ADM-WF-018</x:v>
      </x:c>
      <x:c r="K21" s="10"/>
      <x:c r="L21" s="10" t="str"/>
      <x:c r="M21" s="10" t="str"/>
    </x:row>
    <x:row r="22" ht="43" customHeight="1">
      <x:c r="A22" s="10" t="str">
        <x:v>ADM-M-021</x:v>
      </x:c>
      <x:c r="B22" s="10" t="str">
        <x:v>product_or_technical</x:v>
      </x:c>
      <x:c r="C22" s="10" t="str">
        <x:v>P2</x:v>
      </x:c>
      <x:c r="D22" s="10" t="str">
        <x:v>data_integrity</x:v>
      </x:c>
      <x:c r="E22" s="10" t="str">
        <x:v>Design System</x:v>
      </x:c>
      <x:c r="F22" s="11" t="n">
        <x:v>1</x:v>
      </x:c>
      <x:c r="G22" s="10" t="str">
        <x:v>observed</x:v>
      </x:c>
      <x:c r="H22" s="10" t="str">
        <x:v>user_sessions table not in active migration chain; acting-context persistence silently degrades</x:v>
      </x:c>
      <x:c r="I22" s="10" t="str">
        <x:v>Add migration or document header-only mode</x:v>
      </x:c>
      <x:c r="J22" s="10" t="str">
        <x:v>ADM-WF-001</x:v>
      </x:c>
      <x:c r="K22" s="10"/>
      <x:c r="L22" s="10" t="str"/>
      <x:c r="M22" s="10" t="str"/>
    </x:row>
    <x:row r="23" ht="43" customHeight="1">
      <x:c r="A23" s="10" t="str">
        <x:v>ADM-M-022</x:v>
      </x:c>
      <x:c r="B23" s="10" t="str">
        <x:v>product_or_technical</x:v>
      </x:c>
      <x:c r="C23" s="10" t="str">
        <x:v>P2</x:v>
      </x:c>
      <x:c r="D23" s="10" t="str">
        <x:v>broken</x:v>
      </x:c>
      <x:c r="E23" s="10" t="str">
        <x:v>Tours / Events / Artists</x:v>
      </x:c>
      <x:c r="F23" s="11" t="n">
        <x:v>2</x:v>
      </x:c>
      <x:c r="G23" s="10" t="str">
        <x:v>observed</x:v>
      </x:c>
      <x:c r="H23" s="10" t="str">
        <x:v>Tours autosave failure near-silent; 800ms skipAutosave race window can drop edits</x:v>
      </x:c>
      <x:c r="I23" s="10" t="str">
        <x:v>Retry queue + beforeunload guard</x:v>
      </x:c>
      <x:c r="J23" s="10" t="str">
        <x:v>ADM-WF-005</x:v>
      </x:c>
      <x:c r="K23" s="10"/>
      <x:c r="L23" s="10" t="str"/>
      <x:c r="M23" s="10" t="str"/>
    </x:row>
    <x:row r="24" ht="43" customHeight="1">
      <x:c r="A24" s="10" t="str">
        <x:v>ADM-M-023</x:v>
      </x:c>
      <x:c r="B24" s="10" t="str">
        <x:v>product_or_technical</x:v>
      </x:c>
      <x:c r="C24" s="10" t="str">
        <x:v>P2</x:v>
      </x:c>
      <x:c r="D24" s="10" t="str">
        <x:v>partial</x:v>
      </x:c>
      <x:c r="E24" s="10" t="str">
        <x:v>Tours / Events / Artists</x:v>
      </x:c>
      <x:c r="F24" s="11" t="n">
        <x:v>2</x:v>
      </x:c>
      <x:c r="G24" s="10" t="str">
        <x:v>observed</x:v>
      </x:c>
      <x:c r="H24" s="10" t="str">
        <x:v>Event duplicate copies ~6 shallow fields (riders/contacts/team/finance dropped); generic error toasts discard server messages</x:v>
      </x:c>
      <x:c r="I24" s="10" t="str">
        <x:v>Deep copy service</x:v>
      </x:c>
      <x:c r="J24" s="10" t="str">
        <x:v>ADM-WF-005</x:v>
      </x:c>
      <x:c r="K24" s="10"/>
      <x:c r="L24" s="10" t="str"/>
      <x:c r="M24" s="10" t="str"/>
    </x:row>
    <x:row r="25" ht="43" customHeight="1">
      <x:c r="A25" s="10" t="str">
        <x:v>ADM-M-024</x:v>
      </x:c>
      <x:c r="B25" s="10" t="str">
        <x:v>product_or_technical</x:v>
      </x:c>
      <x:c r="C25" s="10" t="str">
        <x:v>P2</x:v>
      </x:c>
      <x:c r="D25" s="10" t="str">
        <x:v>missing</x:v>
      </x:c>
      <x:c r="E25" s="10" t="str">
        <x:v>Tours / Events / Artists</x:v>
      </x:c>
      <x:c r="F25" s="11" t="n">
        <x:v>2</x:v>
      </x:c>
      <x:c r="G25" s="10" t="str">
        <x:v>observed</x:v>
      </x:c>
      <x:c r="H25" s="10" t="str">
        <x:v>Plan quarantine list-only: no resolve/retry/dismiss endpoint</x:v>
      </x:c>
      <x:c r="I25" s="10" t="str">
        <x:v>Add remediation endpoint</x:v>
      </x:c>
      <x:c r="J25" s="10" t="str">
        <x:v>ADM-WF-005</x:v>
      </x:c>
      <x:c r="K25" s="10"/>
      <x:c r="L25" s="10" t="str"/>
      <x:c r="M25" s="10" t="str"/>
    </x:row>
    <x:row r="26" ht="43" customHeight="1">
      <x:c r="A26" s="10" t="str">
        <x:v>ADM-M-025</x:v>
      </x:c>
      <x:c r="B26" s="10" t="str">
        <x:v>product_or_technical</x:v>
      </x:c>
      <x:c r="C26" s="10" t="str">
        <x:v>P2</x:v>
      </x:c>
      <x:c r="D26" s="10" t="str">
        <x:v>data_integrity</x:v>
      </x:c>
      <x:c r="E26" s="10" t="str">
        <x:v>Tours / Events / Artists</x:v>
      </x:c>
      <x:c r="F26" s="11" t="n">
        <x:v>2</x:v>
      </x:c>
      <x:c r="G26" s="10" t="str">
        <x:v>observed</x:v>
      </x:c>
      <x:c r="H26" s="10" t="str">
        <x:v>Ghost stops: event delete SET-NULLs tour_stops.event_id leaving active stops that block readiness; deleteEvent non-transactional</x:v>
      </x:c>
      <x:c r="I26" s="10" t="str">
        <x:v>Sweep orphans; transactional delete</x:v>
      </x:c>
      <x:c r="J26" s="10" t="str">
        <x:v>ADM-WF-005</x:v>
      </x:c>
      <x:c r="K26" s="10"/>
      <x:c r="L26" s="10" t="str"/>
      <x:c r="M26" s="10" t="str"/>
    </x:row>
    <x:row r="27" ht="43" customHeight="1">
      <x:c r="A27" s="10" t="str">
        <x:v>ADM-M-026</x:v>
      </x:c>
      <x:c r="B27" s="10" t="str">
        <x:v>product_or_technical</x:v>
      </x:c>
      <x:c r="C27" s="10" t="str">
        <x:v>P2</x:v>
      </x:c>
      <x:c r="D27" s="10" t="str">
        <x:v>broken</x:v>
      </x:c>
      <x:c r="E27" s="10" t="str">
        <x:v>Tours / Events / Artists</x:v>
      </x:c>
      <x:c r="F27" s="11" t="n">
        <x:v>2</x:v>
      </x:c>
      <x:c r="G27" s="10" t="str">
        <x:v>observed</x:v>
      </x:c>
      <x:c r="H27" s="10" t="str">
        <x:v>Timezone-naive datetimes parsed as UTC; events_v2.timezone never applied; ICS wrong wall-clock</x:v>
      </x:c>
      <x:c r="I27" s="10" t="str">
        <x:v>Adopt tz-aware composition (date-fns-tz)</x:v>
      </x:c>
      <x:c r="J27" s="10" t="str">
        <x:v>ADM-WF-005</x:v>
      </x:c>
      <x:c r="K27" s="10"/>
      <x:c r="L27" s="10" t="str"/>
      <x:c r="M27" s="10" t="str"/>
    </x:row>
    <x:row r="28" ht="43" customHeight="1">
      <x:c r="A28" s="10" t="str">
        <x:v>ADM-M-027</x:v>
      </x:c>
      <x:c r="B28" s="10" t="str">
        <x:v>product_or_technical</x:v>
      </x:c>
      <x:c r="C28" s="10" t="str">
        <x:v>P2</x:v>
      </x:c>
      <x:c r="D28" s="10" t="str">
        <x:v>partial</x:v>
      </x:c>
      <x:c r="E28" s="10" t="str">
        <x:v>Tours / Events / Artists</x:v>
      </x:c>
      <x:c r="F28" s="11" t="n">
        <x:v>2</x:v>
      </x:c>
      <x:c r="G28" s="10" t="str">
        <x:v>observed</x:v>
      </x:c>
      <x:c r="H28" s="10" t="str">
        <x:v>Holds: cancel from any state; no sweeper expires past-due holds</x:v>
      </x:c>
      <x:c r="I28" s="10" t="str">
        <x:v>State guards + cron sweeper</x:v>
      </x:c>
      <x:c r="J28" s="10" t="str">
        <x:v>ADM-WF-005</x:v>
      </x:c>
      <x:c r="K28" s="10"/>
      <x:c r="L28" s="10" t="str"/>
      <x:c r="M28" s="10" t="str"/>
    </x:row>
    <x:row r="29" ht="43" customHeight="1">
      <x:c r="A29" s="10" t="str">
        <x:v>ADM-M-028</x:v>
      </x:c>
      <x:c r="B29" s="10" t="str">
        <x:v>product_or_technical</x:v>
      </x:c>
      <x:c r="C29" s="10" t="str">
        <x:v>P2</x:v>
      </x:c>
      <x:c r="D29" s="10" t="str">
        <x:v>inconsistent</x:v>
      </x:c>
      <x:c r="E29" s="10" t="str">
        <x:v>Tours / Events / Artists</x:v>
      </x:c>
      <x:c r="F29" s="11" t="n">
        <x:v>2</x:v>
      </x:c>
      <x:c r="G29" s="10" t="str">
        <x:v>observed</x:v>
      </x:c>
      <x:c r="H29" s="10" t="str">
        <x:v>Calendar fragmentation: admin UI bypasses aggregate API; third hand-rolled ICS path</x:v>
      </x:c>
      <x:c r="I29" s="10" t="str">
        <x:v>Point at /api/admin/calendar</x:v>
      </x:c>
      <x:c r="J29" s="10" t="str">
        <x:v>ADM-WF-005</x:v>
      </x:c>
      <x:c r="K29" s="10"/>
      <x:c r="L29" s="10" t="str"/>
      <x:c r="M29" s="10" t="str"/>
    </x:row>
    <x:row r="30" ht="43" customHeight="1">
      <x:c r="A30" s="10" t="str">
        <x:v>ADM-M-029</x:v>
      </x:c>
      <x:c r="B30" s="10" t="str">
        <x:v>product_or_technical</x:v>
      </x:c>
      <x:c r="C30" s="10" t="str">
        <x:v>P2</x:v>
      </x:c>
      <x:c r="D30" s="10" t="str">
        <x:v>broken</x:v>
      </x:c>
      <x:c r="E30" s="10" t="str">
        <x:v>Workforce / Hiring</x:v>
      </x:c>
      <x:c r="F30" s="11" t="n">
        <x:v>3</x:v>
      </x:c>
      <x:c r="G30" s="10" t="str">
        <x:v>observed</x:v>
      </x:c>
      <x:c r="H30" s="10" t="str">
        <x:v>Conflict detection blind to venue-employed staff; derived-only unpersisted</x:v>
      </x:c>
      <x:c r="I30" s="10" t="str">
        <x:v>Key off employer entity correctly</x:v>
      </x:c>
      <x:c r="J30" s="10" t="str">
        <x:v>ADM-WF-008</x:v>
      </x:c>
      <x:c r="K30" s="10"/>
      <x:c r="L30" s="10" t="str"/>
      <x:c r="M30" s="10" t="str"/>
    </x:row>
    <x:row r="31" ht="43" customHeight="1">
      <x:c r="A31" s="10" t="str">
        <x:v>ADM-M-030</x:v>
      </x:c>
      <x:c r="B31" s="10" t="str">
        <x:v>product_or_technical</x:v>
      </x:c>
      <x:c r="C31" s="10" t="str">
        <x:v>P2</x:v>
      </x:c>
      <x:c r="D31" s="10" t="str">
        <x:v>broken</x:v>
      </x:c>
      <x:c r="E31" s="10" t="str">
        <x:v>Operations / Communications</x:v>
      </x:c>
      <x:c r="F31" s="11" t="n">
        <x:v>4</x:v>
      </x:c>
      <x:c r="G31" s="10" t="str">
        <x:v>observed</x:v>
      </x:c>
      <x:c r="H31" s="10" t="str">
        <x:v>Threads API hardcodes unreadCount:0 and ignores group threads; replies client-side</x:v>
      </x:c>
      <x:c r="I31" s="10" t="str">
        <x:v>Use list-route unread logic</x:v>
      </x:c>
      <x:c r="J31" s="10" t="str">
        <x:v>ADM-WF-011</x:v>
      </x:c>
      <x:c r="K31" s="10"/>
      <x:c r="L31" s="10" t="str"/>
      <x:c r="M31" s="10" t="str"/>
    </x:row>
    <x:row r="32" ht="43" customHeight="1">
      <x:c r="A32" s="10" t="str">
        <x:v>ADM-M-031</x:v>
      </x:c>
      <x:c r="B32" s="10" t="str">
        <x:v>product_or_technical</x:v>
      </x:c>
      <x:c r="C32" s="10" t="str">
        <x:v>P2</x:v>
      </x:c>
      <x:c r="D32" s="10" t="str">
        <x:v>needs_verification</x:v>
      </x:c>
      <x:c r="E32" s="10" t="str">
        <x:v>Tours / Events / Artists</x:v>
      </x:c>
      <x:c r="F32" s="11" t="n">
        <x:v>4</x:v>
      </x:c>
      <x:c r="G32" s="10" t="str">
        <x:v>observed</x:v>
      </x:c>
      <x:c r="H32" s="10" t="str">
        <x:v>Broadcast = notification rows only; email depends on external DB webhook (503 if secret unset); event-reminders cron is a stub</x:v>
      </x:c>
      <x:c r="I32" s="10" t="str">
        <x:v>Verify prod webhook config; implement reminders</x:v>
      </x:c>
      <x:c r="J32" s="10" t="str">
        <x:v>ADM-WF-004; ADM-WF-012</x:v>
      </x:c>
      <x:c r="K32" s="10"/>
      <x:c r="L32" s="10" t="str"/>
      <x:c r="M32" s="10" t="str"/>
    </x:row>
    <x:row r="33" ht="43" customHeight="1">
      <x:c r="A33" s="10" t="str">
        <x:v>ADM-M-032</x:v>
      </x:c>
      <x:c r="B33" s="10" t="str">
        <x:v>product_or_technical</x:v>
      </x:c>
      <x:c r="C33" s="10" t="str">
        <x:v>P2</x:v>
      </x:c>
      <x:c r="D33" s="10" t="str">
        <x:v>design_debt</x:v>
      </x:c>
      <x:c r="E33" s="10" t="str">
        <x:v>Operations / Communications</x:v>
      </x:c>
      <x:c r="F33" s="11" t="n">
        <x:v>4</x:v>
      </x:c>
      <x:c r="G33" s="10" t="str">
        <x:v>observed</x:v>
      </x:c>
      <x:c r="H33" s="10" t="str">
        <x:v>Finances ledger-only: no double-entry, USD hardcoded, payouts retry = status flip (no Stripe movement)</x:v>
      </x:c>
      <x:c r="I33" s="10" t="str">
        <x:v>Scope decision + journal design</x:v>
      </x:c>
      <x:c r="J33" s="10" t="str">
        <x:v>ADM-WF-014</x:v>
      </x:c>
      <x:c r="K33" s="10"/>
      <x:c r="L33" s="10" t="str"/>
      <x:c r="M33" s="10" t="str"/>
    </x:row>
    <x:row r="34" ht="43" customHeight="1">
      <x:c r="A34" s="10" t="str">
        <x:v>ADM-M-033</x:v>
      </x:c>
      <x:c r="B34" s="10" t="str">
        <x:v>product_or_technical</x:v>
      </x:c>
      <x:c r="C34" s="10" t="str">
        <x:v>P2</x:v>
      </x:c>
      <x:c r="D34" s="10" t="str">
        <x:v>partial</x:v>
      </x:c>
      <x:c r="E34" s="10" t="str">
        <x:v>Security / Authorization</x:v>
      </x:c>
      <x:c r="F34" s="11" t="n">
        <x:v>4</x:v>
      </x:c>
      <x:c r="G34" s="10" t="str">
        <x:v>observed</x:v>
      </x:c>
      <x:c r="H34" s="10" t="str">
        <x:v>Contracts: typed-name e-signature; contract.sign capability enforced nowhere; obligations GET-only; admin UI read-only</x:v>
      </x:c>
      <x:c r="I34" s="10" t="str">
        <x:v>Decide e-sig posture; enforce capability</x:v>
      </x:c>
      <x:c r="J34" s="10" t="str">
        <x:v>ADM-WF-015</x:v>
      </x:c>
      <x:c r="K34" s="10"/>
      <x:c r="L34" s="10" t="str"/>
      <x:c r="M34" s="10" t="str"/>
    </x:row>
    <x:row r="35" ht="43" customHeight="1">
      <x:c r="A35" s="10" t="str">
        <x:v>ADM-M-034</x:v>
      </x:c>
      <x:c r="B35" s="10" t="str">
        <x:v>product_or_technical</x:v>
      </x:c>
      <x:c r="C35" s="10" t="str">
        <x:v>P2</x:v>
      </x:c>
      <x:c r="D35" s="10" t="str">
        <x:v>broken</x:v>
      </x:c>
      <x:c r="E35" s="10" t="str">
        <x:v>Tours / Events / Artists</x:v>
      </x:c>
      <x:c r="F35" s="11" t="n">
        <x:v>5</x:v>
      </x:c>
      <x:c r="G35" s="10" t="str">
        <x:v>observed</x:v>
      </x:c>
      <x:c r="H35" s="10" t="str">
        <x:v>Live-broken nav targets: cmd+N pushes nonexistent /tours/new,/events/new; dead quick-action links</x:v>
      </x:c>
      <x:c r="I35" s="10" t="str">
        <x:v>Fix targets or shortcuts</x:v>
      </x:c>
      <x:c r="J35" s="10" t="str">
        <x:v>ADM-WF-016</x:v>
      </x:c>
      <x:c r="K35" s="10"/>
      <x:c r="L35" s="10" t="str"/>
      <x:c r="M35" s="10" t="str"/>
    </x:row>
    <x:row r="36" ht="43" customHeight="1">
      <x:c r="A36" s="10" t="str">
        <x:v>ADM-M-035</x:v>
      </x:c>
      <x:c r="B36" s="10" t="str">
        <x:v>product_or_technical</x:v>
      </x:c>
      <x:c r="C36" s="10" t="str">
        <x:v>P2</x:v>
      </x:c>
      <x:c r="D36" s="10" t="str">
        <x:v>broken</x:v>
      </x:c>
      <x:c r="E36" s="10" t="str">
        <x:v>Operations / Communications</x:v>
      </x:c>
      <x:c r="F36" s="11" t="n">
        <x:v>5</x:v>
      </x:c>
      <x:c r="G36" s="10" t="str">
        <x:v>observed</x:v>
      </x:c>
      <x:c r="H36" s="10" t="str">
        <x:v>Domain Health Grid ?tab= params ignored (logistics?tab=vendors -&gt; Overview; finances tabs not URL-synced; vendor-master nonexistent)</x:v>
      </x:c>
      <x:c r="I36" s="10" t="str">
        <x:v>URL-sync tabs or fix hrefs</x:v>
      </x:c>
      <x:c r="J36" s="10" t="str">
        <x:v>ADM-WF-016</x:v>
      </x:c>
      <x:c r="K36" s="10"/>
      <x:c r="L36" s="10" t="str"/>
      <x:c r="M36" s="10" t="str"/>
    </x:row>
    <x:row r="37" ht="43" customHeight="1">
      <x:c r="A37" s="10" t="str">
        <x:v>ADM-M-036</x:v>
      </x:c>
      <x:c r="B37" s="10" t="str">
        <x:v>product_or_technical</x:v>
      </x:c>
      <x:c r="C37" s="10" t="str">
        <x:v>P2</x:v>
      </x:c>
      <x:c r="D37" s="10" t="str">
        <x:v>partial</x:v>
      </x:c>
      <x:c r="E37" s="10" t="str">
        <x:v>Tours / Events / Artists</x:v>
      </x:c>
      <x:c r="F37" s="11" t="n">
        <x:v>4</x:v>
      </x:c>
      <x:c r="G37" s="10" t="str">
        <x:v>observed</x:v>
      </x:c>
      <x:c r="H37" s="10" t="str">
        <x:v>Orphaned/dormant surfaces: events claims/duplicates/providers/sync unreachable + flag-gated global-admin trust model</x:v>
      </x:c>
      <x:c r="I37" s="10" t="str">
        <x:v>Nav entry or archive decision</x:v>
      </x:c>
      <x:c r="J37" s="10" t="str">
        <x:v>ADM-WF-003; ADM-WF-020</x:v>
      </x:c>
      <x:c r="K37" s="10"/>
      <x:c r="L37" s="10" t="str"/>
      <x:c r="M37" s="10" t="str"/>
    </x:row>
    <x:row r="38" ht="43" customHeight="1">
      <x:c r="A38" s="10" t="str">
        <x:v>ADM-M-037</x:v>
      </x:c>
      <x:c r="B38" s="10" t="str">
        <x:v>product_or_technical</x:v>
      </x:c>
      <x:c r="C38" s="10" t="str">
        <x:v>P2</x:v>
      </x:c>
      <x:c r="D38" s="10" t="str">
        <x:v>design_debt</x:v>
      </x:c>
      <x:c r="E38" s="10" t="str">
        <x:v>Design System</x:v>
      </x:c>
      <x:c r="F38" s="11" t="n">
        <x:v>5</x:v>
      </x:c>
      <x:c r="G38" s="10" t="str">
        <x:v>observed</x:v>
      </x:c>
      <x:c r="H38" s="10" t="str">
        <x:v>Design system fragmentation: 3 table impls; silent toast loss (unmounted radix hook in 8 files); dead admin-tokens; 2 visual dialects; 4 date pickers; 0 RHF adoption; loader sprawl</x:v>
      </x:c>
      <x:c r="I38" s="10" t="str">
        <x:v>Consolidation program (8 items listed)</x:v>
      </x:c>
      <x:c r="J38" s="10" t="str">
        <x:v>ADM-WF-016</x:v>
      </x:c>
      <x:c r="K38" s="10"/>
      <x:c r="L38" s="10" t="str"/>
      <x:c r="M38" s="10" t="str"/>
    </x:row>
    <x:row r="39" ht="43" customHeight="1">
      <x:c r="A39" s="10" t="str">
        <x:v>ADM-M-038</x:v>
      </x:c>
      <x:c r="B39" s="10" t="str">
        <x:v>product_or_technical</x:v>
      </x:c>
      <x:c r="C39" s="10" t="str">
        <x:v>P2</x:v>
      </x:c>
      <x:c r="D39" s="10" t="str">
        <x:v>performance</x:v>
      </x:c>
      <x:c r="E39" s="10" t="str">
        <x:v>Operations / Communications</x:v>
      </x:c>
      <x:c r="F39" s="11" t="n">
        <x:v>5</x:v>
      </x:c>
      <x:c r="G39" s="10" t="str">
        <x:v>observed</x:v>
      </x:c>
      <x:c r="H39" s="10" t="str">
        <x:v>18 client components &gt;1000 lines; ~180/288 admin selects unbounded; N+1 loops (bulk approve, publish, grant-admins, task-messages); react-query unused in admin</x:v>
      </x:c>
      <x:c r="I39" s="10" t="str">
        <x:v>Pagination + batching + data layer</x:v>
      </x:c>
      <x:c r="J39" s="10" t="str">
        <x:v>ADM-WF-013; ADM-WF-017</x:v>
      </x:c>
      <x:c r="K39" s="10"/>
      <x:c r="L39" s="10" t="str"/>
      <x:c r="M39" s="10" t="str"/>
    </x:row>
    <x:row r="40" ht="43" customHeight="1">
      <x:c r="A40" s="10" t="str">
        <x:v>ADM-M-039</x:v>
      </x:c>
      <x:c r="B40" s="10" t="str">
        <x:v>product_or_technical</x:v>
      </x:c>
      <x:c r="C40" s="10" t="str">
        <x:v>P2</x:v>
      </x:c>
      <x:c r="D40" s="10" t="str">
        <x:v>accessibility</x:v>
      </x:c>
      <x:c r="E40" s="10" t="str">
        <x:v>Tours / Events / Artists</x:v>
      </x:c>
      <x:c r="F40" s="11" t="n">
        <x:v>5</x:v>
      </x:c>
      <x:c r="G40" s="10" t="str">
        <x:v>observed</x:v>
      </x:c>
      <x:c r="H40" s="10" t="str">
        <x:v>Sidebar lacks nav semantics/aria-current; unlabeled icon buttons; forms placeholder-only (~79 inputs/6 labels); custom modals without focus trap; mobile drawer no trap/Esc</x:v>
      </x:c>
      <x:c r="I40" s="10" t="str">
        <x:v>A11y pass on shell + big pages</x:v>
      </x:c>
      <x:c r="J40" s="10" t="str">
        <x:v>ADM-WF-016</x:v>
      </x:c>
      <x:c r="K40" s="10"/>
      <x:c r="L40" s="10" t="str"/>
      <x:c r="M40" s="10" t="str"/>
    </x:row>
    <x:row r="41" ht="43" customHeight="1">
      <x:c r="A41" s="10" t="str">
        <x:v>ADM-M-040</x:v>
      </x:c>
      <x:c r="B41" s="10" t="str">
        <x:v>product_or_technical</x:v>
      </x:c>
      <x:c r="C41" s="10" t="str">
        <x:v>P3</x:v>
      </x:c>
      <x:c r="D41" s="10" t="str">
        <x:v>design_debt</x:v>
      </x:c>
      <x:c r="E41" s="10" t="str">
        <x:v>Tours / Events / Artists</x:v>
      </x:c>
      <x:c r="F41" s="11" t="n">
        <x:v>5</x:v>
      </x:c>
      <x:c r="G41" s="10" t="str">
        <x:v>observed</x:v>
      </x:c>
      <x:c r="H41" s="10" t="str">
        <x:v>Payroll nav item is disabled design preview; analytics placeholder charts; organization placeholder tabs</x:v>
      </x:c>
      <x:c r="I41" s="10" t="str">
        <x:v>Label as preview or hide</x:v>
      </x:c>
      <x:c r="J41" s="10" t="str">
        <x:v>ADM-WF-016</x:v>
      </x:c>
      <x:c r="K41" s="10"/>
      <x:c r="L41" s="10" t="str"/>
      <x:c r="M41" s="10" t="str"/>
    </x:row>
    <x:row r="42" ht="43" customHeight="1">
      <x:c r="A42" s="10" t="str">
        <x:v>ADM-M-041</x:v>
      </x:c>
      <x:c r="B42" s="10" t="str">
        <x:v>product_or_technical</x:v>
      </x:c>
      <x:c r="C42" s="10" t="str">
        <x:v>P3</x:v>
      </x:c>
      <x:c r="D42" s="10" t="str">
        <x:v>design_debt</x:v>
      </x:c>
      <x:c r="E42" s="10" t="str">
        <x:v>Build / CI</x:v>
      </x:c>
      <x:c r="F42" s="11" t="n">
        <x:v>5</x:v>
      </x:c>
      <x:c r="G42" s="10" t="str">
        <x:v>observed</x:v>
      </x:c>
      <x:c r="H42" s="10" t="str">
        <x:v>Duplicate creation paths (builder/create/planner + broken /new); Staff Ops duplicated in sidebar; Settings x3</x:v>
      </x:c>
      <x:c r="I42" s="10" t="str">
        <x:v>Single canonical path each</x:v>
      </x:c>
      <x:c r="J42" s="10" t="str">
        <x:v>ADM-WF-016</x:v>
      </x:c>
      <x:c r="K42" s="10"/>
      <x:c r="L42" s="10" t="str"/>
      <x:c r="M42" s="10" t="str"/>
    </x:row>
    <x:row r="43" ht="43" customHeight="1">
      <x:c r="A43" s="10" t="str">
        <x:v>ADM-M-042</x:v>
      </x:c>
      <x:c r="B43" s="10" t="str">
        <x:v>product_or_technical</x:v>
      </x:c>
      <x:c r="C43" s="10" t="str">
        <x:v>P3</x:v>
      </x:c>
      <x:c r="D43" s="10" t="str">
        <x:v>partial</x:v>
      </x:c>
      <x:c r="E43" s="10" t="str">
        <x:v>Hardening / Quality</x:v>
      </x:c>
      <x:c r="F43" s="11" t="n">
        <x:v>5</x:v>
      </x:c>
      <x:c r="G43" s="10" t="str">
        <x:v>observed</x:v>
      </x:c>
      <x:c r="H43" s="10" t="str">
        <x:v>apps/mobile has no worker/work-mode or admin surface</x:v>
      </x:c>
      <x:c r="I43" s="10" t="str">
        <x:v>Product scope decision</x:v>
      </x:c>
      <x:c r="J43" s="10" t="str">
        <x:v>ADM-WF-016</x:v>
      </x:c>
      <x:c r="K43" s="10"/>
      <x:c r="L43" s="10" t="str"/>
      <x:c r="M43" s="10" t="str"/>
    </x:row>
    <x:row r="44" ht="43" customHeight="1">
      <x:c r="A44" s="10" t="str">
        <x:v>ADM-M-043</x:v>
      </x:c>
      <x:c r="B44" s="10" t="str">
        <x:v>product_or_technical</x:v>
      </x:c>
      <x:c r="C44" s="10" t="str">
        <x:v>P3</x:v>
      </x:c>
      <x:c r="D44" s="10" t="str">
        <x:v>broken</x:v>
      </x:c>
      <x:c r="E44" s="10" t="str">
        <x:v>Workforce / Hiring</x:v>
      </x:c>
      <x:c r="F44" s="11" t="n">
        <x:v>5</x:v>
      </x:c>
      <x:c r="G44" s="10" t="str">
        <x:v>observed</x:v>
      </x:c>
      <x:c r="H44" s="10" t="str">
        <x:v>Keyboard shortcut conflicts: cmd+f hijacks find; cmd+shift+f double-registered; dead Enter/Esc/Delete handlers; overlapping sidebar handler</x:v>
      </x:c>
      <x:c r="I44" s="10" t="str">
        <x:v>Prune registry</x:v>
      </x:c>
      <x:c r="J44" s="10" t="str">
        <x:v>ADM-WF-016</x:v>
      </x:c>
      <x:c r="K44" s="10"/>
      <x:c r="L44" s="10" t="str"/>
      <x:c r="M44" s="10" t="str"/>
    </x:row>
    <x:row r="45" ht="43" customHeight="1">
      <x:c r="A45" s="10" t="str">
        <x:v>ADM-M-044</x:v>
      </x:c>
      <x:c r="B45" s="10" t="str">
        <x:v>product_or_technical</x:v>
      </x:c>
      <x:c r="C45" s="10" t="str">
        <x:v>P3</x:v>
      </x:c>
      <x:c r="D45" s="10" t="str">
        <x:v>design_debt</x:v>
      </x:c>
      <x:c r="E45" s="10" t="str">
        <x:v>Security / Authorization</x:v>
      </x:c>
      <x:c r="F45" s="11" t="n">
        <x:v>5</x:v>
      </x:c>
      <x:c r="G45" s="10" t="str">
        <x:v>observed</x:v>
      </x:c>
      <x:c r="H45" s="10" t="str">
        <x:v>Mock-data global search links to nonexistent detail URLs</x:v>
      </x:c>
      <x:c r="I45" s="10" t="str">
        <x:v>Remove mock entries</x:v>
      </x:c>
      <x:c r="J45" s="10" t="str">
        <x:v>ADM-WF-016</x:v>
      </x:c>
      <x:c r="K45" s="10"/>
      <x:c r="L45" s="10" t="str"/>
      <x:c r="M45" s="10" t="str"/>
    </x:row>
    <x:row r="46" ht="43" customHeight="1">
      <x:c r="A46" s="10" t="str">
        <x:v>ADM-M-045</x:v>
      </x:c>
      <x:c r="B46" s="10" t="str">
        <x:v>product_or_technical</x:v>
      </x:c>
      <x:c r="C46" s="10" t="str">
        <x:v>P3</x:v>
      </x:c>
      <x:c r="D46" s="10" t="str">
        <x:v>partial</x:v>
      </x:c>
      <x:c r="E46" s="10" t="str">
        <x:v>Design System</x:v>
      </x:c>
      <x:c r="F46" s="11" t="n">
        <x:v>4</x:v>
      </x:c>
      <x:c r="G46" s="10" t="str">
        <x:v>observed</x:v>
      </x:c>
      <x:c r="H46" s="10" t="str">
        <x:v>CSV import sequential POSTs discarding error detail; metrics via unscoped tables</x:v>
      </x:c>
      <x:c r="I46" s="10" t="str">
        <x:v>Batch endpoint with row errors</x:v>
      </x:c>
      <x:c r="J46" s="10" t="str">
        <x:v>ADM-WF-009</x:v>
      </x:c>
      <x:c r="K46" s="10"/>
      <x:c r="L46" s="10" t="str"/>
      <x:c r="M46" s="10" t="str"/>
    </x:row>
    <x:row r="47" ht="43" customHeight="1">
      <x:c r="A47" s="10" t="str">
        <x:v>ADM-M-046</x:v>
      </x:c>
      <x:c r="B47" s="10" t="str">
        <x:v>product_or_technical</x:v>
      </x:c>
      <x:c r="C47" s="10" t="str">
        <x:v>P3</x:v>
      </x:c>
      <x:c r="D47" s="10" t="str">
        <x:v>security</x:v>
      </x:c>
      <x:c r="E47" s="10" t="str">
        <x:v>Admin Platform</x:v>
      </x:c>
      <x:c r="F47" s="11" t="n">
        <x:v>4</x:v>
      </x:c>
      <x:c r="G47" s="10" t="str">
        <x:v>observed</x:v>
      </x:c>
      <x:c r="H47" s="10" t="str">
        <x:v>/admin/request writes to nonexistent admin_requests via browser anon client</x:v>
      </x:c>
      <x:c r="I47" s="10" t="str">
        <x:v>Remove or implement server-side</x:v>
      </x:c>
      <x:c r="J47" s="10" t="str">
        <x:v>ADM-WF-018</x:v>
      </x:c>
      <x:c r="K47" s="10"/>
      <x:c r="L47" s="10" t="str"/>
      <x:c r="M47" s="10" t="str"/>
    </x:row>
    <x:row r="48" ht="43" customHeight="1">
      <x:c r="A48" s="10" t="str">
        <x:v>ADM-M-047</x:v>
      </x:c>
      <x:c r="B48" s="10" t="str">
        <x:v>product_or_technical</x:v>
      </x:c>
      <x:c r="C48" s="10" t="str">
        <x:v>P3</x:v>
      </x:c>
      <x:c r="D48" s="10" t="str">
        <x:v>partial</x:v>
      </x:c>
      <x:c r="E48" s="10" t="str">
        <x:v>Admin Platform</x:v>
      </x:c>
      <x:c r="F48" s="11" t="n">
        <x:v>1</x:v>
      </x:c>
      <x:c r="G48" s="10" t="str">
        <x:v>observed</x:v>
      </x:c>
      <x:c r="H48" s="10" t="str">
        <x:v>Stale acting-context silently demoted server-side with no client signal</x:v>
      </x:c>
      <x:c r="I48" s="10" t="str">
        <x:v>Return demotion flag</x:v>
      </x:c>
      <x:c r="J48" s="10" t="str">
        <x:v>ADM-WF-001</x:v>
      </x:c>
      <x:c r="K48" s="10"/>
      <x:c r="L48" s="10" t="str"/>
      <x:c r="M48" s="10" t="str"/>
    </x:row>
    <x:row r="49" ht="43" customHeight="1">
      <x:c r="A49" s="10" t="str">
        <x:v>ADM-M-048</x:v>
      </x:c>
      <x:c r="B49" s="10" t="str">
        <x:v>product_or_technical</x:v>
      </x:c>
      <x:c r="C49" s="10" t="str">
        <x:v>P3</x:v>
      </x:c>
      <x:c r="D49" s="10" t="str">
        <x:v>performance</x:v>
      </x:c>
      <x:c r="E49" s="10" t="str">
        <x:v>Hardening / Quality</x:v>
      </x:c>
      <x:c r="F49" s="11" t="n">
        <x:v>5</x:v>
      </x:c>
      <x:c r="G49" s="10" t="str">
        <x:v>observed</x:v>
      </x:c>
      <x:c r="H49" s="10" t="str">
        <x:v>Sentry init no-op without DSN; error boundary lacks captureException/digest surfacing</x:v>
      </x:c>
      <x:c r="I49" s="10" t="str">
        <x:v>Wire capture + config alerting</x:v>
      </x:c>
      <x:c r="J49" s="10" t="str">
        <x:v>ADM-WF-017</x:v>
      </x:c>
      <x:c r="K49" s="10"/>
      <x:c r="L49" s="10" t="str"/>
      <x:c r="M49" s="10" t="str"/>
    </x:row>
    <x:row r="50" ht="43" customHeight="1">
      <x:c r="A50" s="10" t="str">
        <x:v>ADM-M-049</x:v>
      </x:c>
      <x:c r="B50" s="10" t="str">
        <x:v>product_or_technical</x:v>
      </x:c>
      <x:c r="C50" s="10" t="str">
        <x:v>P3</x:v>
      </x:c>
      <x:c r="D50" s="10" t="str">
        <x:v>partial</x:v>
      </x:c>
      <x:c r="E50" s="10" t="str">
        <x:v>Security / Authorization</x:v>
      </x:c>
      <x:c r="F50" s="11" t="n">
        <x:v>5</x:v>
      </x:c>
      <x:c r="G50" s="10" t="str">
        <x:v>observed</x:v>
      </x:c>
      <x:c r="H50" s="10" t="str">
        <x:v>No offline/network-state handling in web admin; Idempotency-Key headers in only 3 client call sites</x:v>
      </x:c>
      <x:c r="I50" s="10" t="str">
        <x:v>Add keys to critical mutations</x:v>
      </x:c>
      <x:c r="J50" s="10" t="str">
        <x:v>ADM-WF-017</x:v>
      </x:c>
      <x:c r="K50" s="10"/>
      <x:c r="L50" s="10" t="str"/>
      <x:c r="M50" s="10" t="str"/>
    </x:row>
    <x:row r="51" ht="43" customHeight="1">
      <x:c r="A51" s="10" t="str">
        <x:v>ADM-M-050</x:v>
      </x:c>
      <x:c r="B51" s="10" t="str">
        <x:v>product_or_technical</x:v>
      </x:c>
      <x:c r="C51" s="10" t="str">
        <x:v>P3</x:v>
      </x:c>
      <x:c r="D51" s="10" t="str">
        <x:v>design_debt</x:v>
      </x:c>
      <x:c r="E51" s="10" t="str">
        <x:v>Navigation / IA</x:v>
      </x:c>
      <x:c r="F51" s="11" t="n">
        <x:v>5</x:v>
      </x:c>
      <x:c r="G51" s="10" t="str">
        <x:v>observed</x:v>
      </x:c>
      <x:c r="H51" s="10" t="str">
        <x:v>Dead components: DashboardQuickHub, VirtualScroll, ContextualNavigation, AdminDetailTabs; PayrollExportPanel contradicts progress logs</x:v>
      </x:c>
      <x:c r="I51" s="10" t="str">
        <x:v>Delete or wire</x:v>
      </x:c>
      <x:c r="J51" s="10" t="str">
        <x:v>ADM-WF-016</x:v>
      </x:c>
      <x:c r="K51" s="10"/>
      <x:c r="L51" s="10" t="str"/>
      <x:c r="M51" s="10" t="str"/>
    </x:row>
    <x:row r="52" ht="43" customHeight="1">
      <x:c r="A52" s="10" t="str">
        <x:v>ADM-M-051</x:v>
      </x:c>
      <x:c r="B52" s="10" t="str">
        <x:v>product_or_technical</x:v>
      </x:c>
      <x:c r="C52" s="10" t="str">
        <x:v>P0</x:v>
      </x:c>
      <x:c r="D52" s="10" t="str">
        <x:v>security</x:v>
      </x:c>
      <x:c r="E52" s="10" t="str">
        <x:v>Security / Authorization</x:v>
      </x:c>
      <x:c r="F52" s="11" t="n">
        <x:v>1</x:v>
      </x:c>
      <x:c r="G52" s="10" t="str">
        <x:v>observed</x:v>
      </x:c>
      <x:c r="H52" s="10" t="str">
        <x:v>switch_active_account SECURITY DEFINER RPC trusts caller-supplied user/profile identity</x:v>
      </x:c>
      <x:c r="I52" s="10" t="str">
        <x:v>Derive actor from auth.uid(); validate profile/account membership; restrict EXECUTE; add cross-user negative tests.</x:v>
      </x:c>
      <x:c r="J52" s="10" t="str">
        <x:v>ADM-WF-001</x:v>
      </x:c>
      <x:c r="K52" s="10"/>
      <x:c r="L52" s="10" t="str"/>
      <x:c r="M52" s="10" t="str"/>
    </x:row>
    <x:row r="53" ht="43" customHeight="1">
      <x:c r="A53" s="10" t="str">
        <x:v>ADM-M-052</x:v>
      </x:c>
      <x:c r="B53" s="10" t="str">
        <x:v>product_or_technical</x:v>
      </x:c>
      <x:c r="C53" s="10" t="str">
        <x:v>P0</x:v>
      </x:c>
      <x:c r="D53" s="10" t="str">
        <x:v>security</x:v>
      </x:c>
      <x:c r="E53" s="10" t="str">
        <x:v>Security / Authorization</x:v>
      </x:c>
      <x:c r="F53" s="11" t="n">
        <x:v>1</x:v>
      </x:c>
      <x:c r="G53" s="10" t="str">
        <x:v>observed</x:v>
      </x:c>
      <x:c r="H53" s="10" t="str">
        <x:v>get_user_accounts_adaptive allows arbitrary target-user account discovery</x:v>
      </x:c>
      <x:c r="I53" s="10" t="str">
        <x:v>Bind ordinary lookup to auth.uid(); isolate privileged cross-user lookup behind explicit grant/service principal.</x:v>
      </x:c>
      <x:c r="J53" s="10" t="str">
        <x:v>ADM-WF-001</x:v>
      </x:c>
      <x:c r="K53" s="10"/>
      <x:c r="L53" s="10" t="str"/>
      <x:c r="M53" s="10" t="str"/>
    </x:row>
    <x:row r="54" ht="43" customHeight="1">
      <x:c r="A54" s="10" t="str">
        <x:v>ADM-M-053</x:v>
      </x:c>
      <x:c r="B54" s="10" t="str">
        <x:v>product_or_technical</x:v>
      </x:c>
      <x:c r="C54" s="10" t="str">
        <x:v>P0</x:v>
      </x:c>
      <x:c r="D54" s="10" t="str">
        <x:v>data_integrity</x:v>
      </x:c>
      <x:c r="E54" s="10" t="str">
        <x:v>Security / Authorization</x:v>
      </x:c>
      <x:c r="F54" s="11" t="n">
        <x:v>1</x:v>
      </x:c>
      <x:c r="G54" s="10" t="str">
        <x:v>observed</x:v>
      </x:c>
      <x:c r="H54" s="10" t="str">
        <x:v>create_artist_account trusts caller identity and contains WHERE user_id = user_id mass-update defect</x:v>
      </x:c>
      <x:c r="I54" s="10" t="str">
        <x:v>Use auth.uid(); rename parameters; scope update correctly; wrap mutation transactionally; add multi-user regression tests.</x:v>
      </x:c>
      <x:c r="J54" s="10" t="str">
        <x:v>ADM-WF-009</x:v>
      </x:c>
      <x:c r="K54" s="10"/>
      <x:c r="L54" s="10" t="str"/>
      <x:c r="M54" s="10" t="str"/>
    </x:row>
    <x:row r="55" ht="43" customHeight="1">
      <x:c r="A55" s="10" t="str">
        <x:v>ADM-M-054</x:v>
      </x:c>
      <x:c r="B55" s="10" t="str">
        <x:v>product_or_technical</x:v>
      </x:c>
      <x:c r="C55" s="10" t="str">
        <x:v>P0</x:v>
      </x:c>
      <x:c r="D55" s="10" t="str">
        <x:v>security</x:v>
      </x:c>
      <x:c r="E55" s="10" t="str">
        <x:v>Operations / Communications</x:v>
      </x:c>
      <x:c r="F55" s="11" t="n">
        <x:v>1</x:v>
      </x:c>
      <x:c r="G55" s="10" t="str">
        <x:v>observed</x:v>
      </x:c>
      <x:c r="H55" s="10" t="str">
        <x:v>send_dm_request permits caller-controlled sender identity</x:v>
      </x:c>
      <x:c r="I55" s="10" t="str">
        <x:v>Derive sender from auth.uid(); remove actor arg; validate recipient/block state; restrict EXECUTE; test impersonation.</x:v>
      </x:c>
      <x:c r="J55" s="10" t="str">
        <x:v>ADM-WF-011</x:v>
      </x:c>
      <x:c r="K55" s="10"/>
      <x:c r="L55" s="10" t="str"/>
      <x:c r="M55" s="10" t="str"/>
    </x:row>
    <x:row r="56" ht="43" customHeight="1">
      <x:c r="A56" s="10" t="str">
        <x:v>ADM-M-055</x:v>
      </x:c>
      <x:c r="B56" s="10" t="str">
        <x:v>product_or_technical</x:v>
      </x:c>
      <x:c r="C56" s="10" t="str">
        <x:v>P1</x:v>
      </x:c>
      <x:c r="D56" s="10" t="str">
        <x:v>security</x:v>
      </x:c>
      <x:c r="E56" s="10" t="str">
        <x:v>Operations / Communications</x:v>
      </x:c>
      <x:c r="F56" s="11" t="n">
        <x:v>1</x:v>
      </x:c>
      <x:c r="G56" s="10" t="str">
        <x:v>observed</x:v>
      </x:c>
      <x:c r="H56" s="10" t="str">
        <x:v>get_or_create_conversation accepts arbitrary user pairs without strong actor binding</x:v>
      </x:c>
      <x:c r="I56" s="10" t="str">
        <x:v>Bind one participant to auth.uid(); privileged override only via explicit service/admin path.</x:v>
      </x:c>
      <x:c r="J56" s="10" t="str">
        <x:v>ADM-WF-011</x:v>
      </x:c>
      <x:c r="K56" s="10"/>
      <x:c r="L56" s="10" t="str"/>
      <x:c r="M56" s="10" t="str"/>
    </x:row>
    <x:row r="57" ht="43" customHeight="1">
      <x:c r="A57" s="10" t="str">
        <x:v>ADM-M-056</x:v>
      </x:c>
      <x:c r="B57" s="10" t="str">
        <x:v>product_or_technical</x:v>
      </x:c>
      <x:c r="C57" s="10" t="str">
        <x:v>P1</x:v>
      </x:c>
      <x:c r="D57" s="10" t="str">
        <x:v>security</x:v>
      </x:c>
      <x:c r="E57" s="10" t="str">
        <x:v>Security / Authorization</x:v>
      </x:c>
      <x:c r="F57" s="11" t="n">
        <x:v>1</x:v>
      </x:c>
      <x:c r="G57" s="10" t="str">
        <x:v>observed</x:v>
      </x:c>
      <x:c r="H57" s="10" t="str">
        <x:v>Organizer-account discovery RPC accepts arbitrary user target</x:v>
      </x:c>
      <x:c r="I57" s="10" t="str">
        <x:v>Bind standard calls to auth.uid(); privileged directory lookup only via capability/service principal.</x:v>
      </x:c>
      <x:c r="J57" s="10" t="str">
        <x:v>ADM-WF-001</x:v>
      </x:c>
      <x:c r="K57" s="10"/>
      <x:c r="L57" s="10" t="str"/>
      <x:c r="M57" s="10" t="str"/>
    </x:row>
    <x:row r="58" ht="43" customHeight="1">
      <x:c r="A58" s="10" t="str">
        <x:v>ADM-M-057</x:v>
      </x:c>
      <x:c r="B58" s="10" t="str">
        <x:v>product_or_technical</x:v>
      </x:c>
      <x:c r="C58" s="10" t="str">
        <x:v>P1</x:v>
      </x:c>
      <x:c r="D58" s="10" t="str">
        <x:v>security</x:v>
      </x:c>
      <x:c r="E58" s="10" t="str">
        <x:v>Security / Authorization</x:v>
      </x:c>
      <x:c r="F58" s="11" t="n">
        <x:v>1</x:v>
      </x:c>
      <x:c r="G58" s="10" t="str">
        <x:v>observed</x:v>
      </x:c>
      <x:c r="H58" s="10" t="str">
        <x:v>Legacy hiring/permission SECURITY DEFINER RPCs still accept caller-supplied identity</x:v>
      </x:c>
      <x:c r="I58" s="10" t="str">
        <x:v>Migrate to authenticated acting-context pattern; reduce SECURITY DEFINER surface; standardize permission service.</x:v>
      </x:c>
      <x:c r="J58" s="10" t="str">
        <x:v>ADM-WF-002</x:v>
      </x:c>
      <x:c r="K58" s="10"/>
      <x:c r="L58" s="10" t="str"/>
      <x:c r="M58" s="10" t="str"/>
    </x:row>
    <x:row r="59" ht="43" customHeight="1">
      <x:c r="A59" s="10" t="str">
        <x:v>ADM-M-058</x:v>
      </x:c>
      <x:c r="B59" s="10" t="str">
        <x:v>product_or_technical</x:v>
      </x:c>
      <x:c r="C59" s="10" t="str">
        <x:v>P1</x:v>
      </x:c>
      <x:c r="D59" s="10" t="str">
        <x:v>process</x:v>
      </x:c>
      <x:c r="E59" s="10" t="str">
        <x:v>Build / CI</x:v>
      </x:c>
      <x:c r="F59" s="11" t="n">
        <x:v>0</x:v>
      </x:c>
      <x:c r="G59" s="10" t="str">
        <x:v>observed</x:v>
      </x:c>
      <x:c r="H59" s="10" t="str">
        <x:v>Production main is materially behind the reconciliation branch</x:v>
      </x:c>
      <x:c r="I59" s="10" t="str">
        <x:v>Create controlled reconciliation PR; classify each delta MERGE/SUPERSEDED/MIGRATION/SECURITY_REVIEW/DROP; stage first.</x:v>
      </x:c>
      <x:c r="J59" s="10" t="str">
        <x:v>ADM-WF-017</x:v>
      </x:c>
      <x:c r="K59" s="10"/>
      <x:c r="L59" s="10" t="str"/>
      <x:c r="M59" s="10" t="str"/>
    </x:row>
    <x:row r="60" ht="43" customHeight="1">
      <x:c r="A60" s="10" t="str">
        <x:v>ADM-M-059</x:v>
      </x:c>
      <x:c r="B60" s="10" t="str">
        <x:v>product_or_technical</x:v>
      </x:c>
      <x:c r="C60" s="10" t="str">
        <x:v>P1</x:v>
      </x:c>
      <x:c r="D60" s="10" t="str">
        <x:v>inconsistent</x:v>
      </x:c>
      <x:c r="E60" s="10" t="str">
        <x:v>Navigation / IA</x:v>
      </x:c>
      <x:c r="F60" s="11" t="n">
        <x:v>5</x:v>
      </x:c>
      <x:c r="G60" s="10" t="str">
        <x:v>observed</x:v>
      </x:c>
      <x:c r="H60" s="10" t="str">
        <x:v>Duplicate legacy Admin route implementations remain beside canonical dashboard routes</x:v>
      </x:c>
      <x:c r="I60" s="10" t="str">
        <x:v>Choose one canonical route per concept; redirect aliases; delete duplicate logic; add route-map tests.</x:v>
      </x:c>
      <x:c r="J60" s="10" t="str">
        <x:v>ADM-WF-016</x:v>
      </x:c>
      <x:c r="K60" s="10"/>
      <x:c r="L60" s="10" t="str"/>
      <x:c r="M60" s="10" t="str"/>
    </x:row>
    <x:row r="61" ht="43" customHeight="1">
      <x:c r="A61" s="10" t="str">
        <x:v>ADM-M-060</x:v>
      </x:c>
      <x:c r="B61" s="10" t="str">
        <x:v>product_or_technical</x:v>
      </x:c>
      <x:c r="C61" s="10" t="str">
        <x:v>P1</x:v>
      </x:c>
      <x:c r="D61" s="10" t="str">
        <x:v>security</x:v>
      </x:c>
      <x:c r="E61" s="10" t="str">
        <x:v>Navigation / IA</x:v>
      </x:c>
      <x:c r="F61" s="11" t="n">
        <x:v>4</x:v>
      </x:c>
      <x:c r="G61" s="10" t="str">
        <x:v>observed</x:v>
      </x:c>
      <x:c r="H61" s="10" t="str">
        <x:v>Production still exposes obsolete internal utility/setup routes</x:v>
      </x:c>
      <x:c r="I61" s="10" t="str">
        <x:v>Disable/remove in production; keep internal tooling behind explicit development/internal controls.</x:v>
      </x:c>
      <x:c r="J61" s="10" t="str">
        <x:v>ADM-WF-016; ADM-WF-020</x:v>
      </x:c>
      <x:c r="K61" s="10"/>
      <x:c r="L61" s="10" t="str"/>
      <x:c r="M61" s="10" t="str"/>
    </x:row>
    <x:row r="62" ht="43" customHeight="1">
      <x:c r="A62" s="10" t="str">
        <x:v>ADM-M-061</x:v>
      </x:c>
      <x:c r="B62" s="10" t="str">
        <x:v>product_or_technical</x:v>
      </x:c>
      <x:c r="C62" s="10" t="str">
        <x:v>P2</x:v>
      </x:c>
      <x:c r="D62" s="10" t="str">
        <x:v>needs_verification</x:v>
      </x:c>
      <x:c r="E62" s="10" t="str">
        <x:v>Data / Migrations</x:v>
      </x:c>
      <x:c r="F62" s="11" t="n">
        <x:v>1</x:v>
      </x:c>
      <x:c r="G62" s="10" t="str">
        <x:v>observed</x:v>
      </x:c>
      <x:c r="H62" s="10" t="str">
        <x:v>RLS-enabled tables with zero policies require explicit service-only vs client-access decision</x:v>
      </x:c>
      <x:c r="I62" s="10" t="str">
        <x:v>Document access intent; add least-privilege policies if client-facing or guarantee service-only access with tests.</x:v>
      </x:c>
      <x:c r="J62" s="10" t="str">
        <x:v>ADM-WF-013; ADM-WF-017</x:v>
      </x:c>
      <x:c r="K62" s="10"/>
      <x:c r="L62" s="10" t="str"/>
      <x:c r="M62" s="10" t="str"/>
    </x:row>
    <x:row r="63" ht="43" customHeight="1">
      <x:c r="A63" s="10" t="str">
        <x:v>ADM-M-062</x:v>
      </x:c>
      <x:c r="B63" s="10" t="str">
        <x:v>product_or_technical</x:v>
      </x:c>
      <x:c r="C63" s="10" t="str">
        <x:v>P1</x:v>
      </x:c>
      <x:c r="D63" s="10" t="str">
        <x:v>security</x:v>
      </x:c>
      <x:c r="E63" s="10" t="str">
        <x:v>Workforce / Hiring</x:v>
      </x:c>
      <x:c r="F63" s="11" t="n">
        <x:v>3</x:v>
      </x:c>
      <x:c r="G63" s="10" t="str">
        <x:v>observed</x:v>
      </x:c>
      <x:c r="H63" s="10" t="str">
        <x:v>Job-posting lifecycle status is client-controlled</x:v>
      </x:c>
      <x:c r="I63" s="10" t="str">
        <x:v>Remove arbitrary lifecycle status from create/update payloads; expose validated server transition commands with capability, tenant, idempotency, and audit enforcement.</x:v>
      </x:c>
      <x:c r="J63" s="10" t="str">
        <x:v>ADM-WF-007</x:v>
      </x:c>
      <x:c r="K63" s="10"/>
      <x:c r="L63" s="10" t="str"/>
      <x:c r="M63" s="10" t="str"/>
    </x:row>
    <x:row r="64" ht="43" customHeight="1">
      <x:c r="A64" s="10" t="str">
        <x:v>ADM-M-063</x:v>
      </x:c>
      <x:c r="B64" s="10" t="str">
        <x:v>product_or_technical</x:v>
      </x:c>
      <x:c r="C64" s="10" t="str">
        <x:v>P2</x:v>
      </x:c>
      <x:c r="D64" s="10" t="str">
        <x:v>missing</x:v>
      </x:c>
      <x:c r="E64" s="10" t="str">
        <x:v>Finance / Contracts / Vendors</x:v>
      </x:c>
      <x:c r="F64" s="11" t="n">
        <x:v>4</x:v>
      </x:c>
      <x:c r="G64" s="10" t="str">
        <x:v>observed</x:v>
      </x:c>
      <x:c r="H64" s="10" t="str">
        <x:v>Finance, contract, and vendor tracking notifications are incomplete</x:v>
      </x:c>
      <x:c r="I64" s="10" t="str">
        <x:v>Define scoped notification triggers, durable delivery records, recipient preferences, retry visibility, and explicit disabled states for deferred mutations/signatures.</x:v>
      </x:c>
      <x:c r="J64" s="10" t="str">
        <x:v>ADM-WF-012; ADM-WF-014; ADM-WF-015</x:v>
      </x:c>
      <x:c r="K64" s="10"/>
      <x:c r="L64" s="10" t="str"/>
      <x:c r="M64" s="10" t="str"/>
    </x:row>
    <x:row r="65" ht="43" customHeight="1">
      <x:c r="A65" s="10" t="str">
        <x:v>ADM-M-064</x:v>
      </x:c>
      <x:c r="B65" s="10" t="str">
        <x:v>product_or_technical</x:v>
      </x:c>
      <x:c r="C65" s="10" t="str">
        <x:v>P2</x:v>
      </x:c>
      <x:c r="D65" s="10" t="str">
        <x:v>missing</x:v>
      </x:c>
      <x:c r="E65" s="10" t="str">
        <x:v>Provider / Outbox Operations</x:v>
      </x:c>
      <x:c r="F65" s="11" t="n">
        <x:v>4</x:v>
      </x:c>
      <x:c r="G65" s="10" t="str">
        <x:v>observed</x:v>
      </x:c>
      <x:c r="H65" s="10" t="str">
        <x:v>Six music outbox workers are not scheduled or monitored</x:v>
      </x:c>
      <x:c r="I65" s="10" t="str">
        <x:v>Register platform-internal schedules, bind service principals, make claims idempotent, add bounded retry/dead-letter handling, and expose internal health evidence.</x:v>
      </x:c>
      <x:c r="J65" s="10" t="str">
        <x:v>ADM-WF-012; ADM-WF-020</x:v>
      </x:c>
      <x:c r="K65" s="10"/>
      <x:c r="L65" s="10" t="str"/>
      <x:c r="M65" s="10" t="str"/>
    </x:row>
    <x:row r="66" ht="43" customHeight="1">
      <x:c r="A66" s="10" t="str">
        <x:v>AOA-001</x:v>
      </x:c>
      <x:c r="B66" s="10" t="str">
        <x:v>audit_governance</x:v>
      </x:c>
      <x:c r="C66" s="10" t="str">
        <x:v>P0</x:v>
      </x:c>
      <x:c r="D66" s="10" t="str">
        <x:v>process</x:v>
      </x:c>
      <x:c r="E66" s="10" t="str">
        <x:v>Audit governance</x:v>
      </x:c>
      <x:c r="F66" s="11" t="n">
        <x:v>0</x:v>
      </x:c>
      <x:c r="G66" s="10" t="str">
        <x:v>implemented</x:v>
      </x:c>
      <x:c r="H66" s="10" t="str">
        <x:v>Audit status ledger is unusable</x:v>
      </x:c>
      <x:c r="I66" s="10" t="str">
        <x:v>Replace conflicting hand-edited ledgers with the validated repo registry and generated views.</x:v>
      </x:c>
      <x:c r="J66" s="10" t="str">
        <x:v>ADM-WF-017</x:v>
      </x:c>
      <x:c r="K66" s="10" t="str">
        <x:v>Engineering assurance</x:v>
      </x:c>
      <x:c r="L66" s="10" t="str"/>
      <x:c r="M66" s="10" t="str">
        <x:v>EVD-WAVE0-CONTROLS-COMMIT; EVD-WAVE0-AUDIT-REGISTRY-LOCAL</x:v>
      </x:c>
    </x:row>
    <x:row r="67" ht="43" customHeight="1">
      <x:c r="A67" s="10" t="str">
        <x:v>AOA-002</x:v>
      </x:c>
      <x:c r="B67" s="10" t="str">
        <x:v>audit_governance</x:v>
      </x:c>
      <x:c r="C67" s="10" t="str">
        <x:v>P0</x:v>
      </x:c>
      <x:c r="D67" s="10" t="str">
        <x:v>process</x:v>
      </x:c>
      <x:c r="E67" s="10" t="str">
        <x:v>Audit governance</x:v>
      </x:c>
      <x:c r="F67" s="11" t="n">
        <x:v>0</x:v>
      </x:c>
      <x:c r="G67" s="10" t="str">
        <x:v>implemented</x:v>
      </x:c>
      <x:c r="H67" s="10" t="str">
        <x:v>Claimed remediation commits are unavailable</x:v>
      </x:c>
      <x:c r="I67" s="10" t="str">
        <x:v>Require every completion claim to resolve to an immutable commit in the authoritative repository.</x:v>
      </x:c>
      <x:c r="J67" s="10" t="str">
        <x:v>ADM-WF-017</x:v>
      </x:c>
      <x:c r="K67" s="10" t="str">
        <x:v>Engineering assurance</x:v>
      </x:c>
      <x:c r="L67" s="10" t="str"/>
      <x:c r="M67" s="10" t="str">
        <x:v>EVD-BASELINE-CHECKPOINT; EVD-WAVE0-CONTROLS-COMMIT</x:v>
      </x:c>
    </x:row>
    <x:row r="68" ht="43" customHeight="1">
      <x:c r="A68" s="10" t="str">
        <x:v>AOA-003</x:v>
      </x:c>
      <x:c r="B68" s="10" t="str">
        <x:v>audit_governance</x:v>
      </x:c>
      <x:c r="C68" s="10" t="str">
        <x:v>P0</x:v>
      </x:c>
      <x:c r="D68" s="10" t="str">
        <x:v>process</x:v>
      </x:c>
      <x:c r="E68" s="10" t="str">
        <x:v>Audit governance</x:v>
      </x:c>
      <x:c r="F68" s="11" t="n">
        <x:v>0</x:v>
      </x:c>
      <x:c r="G68" s="10" t="str">
        <x:v>in_progress</x:v>
      </x:c>
      <x:c r="H68" s="10" t="str">
        <x:v>Typecheck and build evidence conflicts</x:v>
      </x:c>
      <x:c r="I68" s="10" t="str">
        <x:v>Record raw command evidence from the pinned toolchain and reject narrative-only pass claims.</x:v>
      </x:c>
      <x:c r="J68" s="10" t="str">
        <x:v>ADM-WF-017</x:v>
      </x:c>
      <x:c r="K68" s="10" t="str">
        <x:v>Engineering</x:v>
      </x:c>
      <x:c r="L68" s="10" t="str"/>
      <x:c r="M68" s="10" t="str">
        <x:v>EVD-WAVE0-TYPECHECK-LOCAL-FAIL</x:v>
      </x:c>
    </x:row>
    <x:row r="69" ht="43" customHeight="1">
      <x:c r="A69" s="10" t="str">
        <x:v>AOA-004</x:v>
      </x:c>
      <x:c r="B69" s="10" t="str">
        <x:v>audit_governance</x:v>
      </x:c>
      <x:c r="C69" s="10" t="str">
        <x:v>P1</x:v>
      </x:c>
      <x:c r="D69" s="10" t="str">
        <x:v>process</x:v>
      </x:c>
      <x:c r="E69" s="10" t="str">
        <x:v>Audit governance</x:v>
      </x:c>
      <x:c r="F69" s="11" t="n">
        <x:v>0</x:v>
      </x:c>
      <x:c r="G69" s="10" t="str">
        <x:v>implemented</x:v>
      </x:c>
      <x:c r="H69" s="10" t="str">
        <x:v>Finding phases and dependencies are corrupted</x:v>
      </x:c>
      <x:c r="I69" s="10" t="str">
        <x:v>Separate source phase, spec phase, and delivery wave; allow exact ID dependencies only and reject cycles.</x:v>
      </x:c>
      <x:c r="J69" s="10" t="str">
        <x:v>ADM-WF-017</x:v>
      </x:c>
      <x:c r="K69" s="10" t="str">
        <x:v>Engineering assurance</x:v>
      </x:c>
      <x:c r="L69" s="10" t="str"/>
      <x:c r="M69" s="10" t="str">
        <x:v>EVD-WAVE0-CONTROLS-COMMIT; EVD-WAVE0-AUDIT-REGISTRY-LOCAL</x:v>
      </x:c>
    </x:row>
    <x:row r="70" ht="43" customHeight="1">
      <x:c r="A70" s="10" t="str">
        <x:v>AOA-005</x:v>
      </x:c>
      <x:c r="B70" s="10" t="str">
        <x:v>audit_governance</x:v>
      </x:c>
      <x:c r="C70" s="10" t="str">
        <x:v>P1</x:v>
      </x:c>
      <x:c r="D70" s="10" t="str">
        <x:v>process</x:v>
      </x:c>
      <x:c r="E70" s="10" t="str">
        <x:v>Audit governance</x:v>
      </x:c>
      <x:c r="F70" s="11" t="n">
        <x:v>0</x:v>
      </x:c>
      <x:c r="G70" s="10" t="str">
        <x:v>implemented</x:v>
      </x:c>
      <x:c r="H70" s="10" t="str">
        <x:v>Mandatory phase exits were not earned</x:v>
      </x:c>
      <x:c r="I70" s="10" t="str">
        <x:v>Compute wave exits from launch gates and evidence instead of narrative phase summaries.</x:v>
      </x:c>
      <x:c r="J70" s="10" t="str">
        <x:v>ADM-WF-017</x:v>
      </x:c>
      <x:c r="K70" s="10" t="str">
        <x:v>Engineering assurance</x:v>
      </x:c>
      <x:c r="L70" s="10" t="str"/>
      <x:c r="M70" s="10" t="str">
        <x:v>EVD-WAVE0-CONTROLS-COMMIT; EVD-WAVE0-AUDIT-REGISTRY-LOCAL</x:v>
      </x:c>
    </x:row>
    <x:row r="71" ht="43" customHeight="1">
      <x:c r="A71" s="10" t="str">
        <x:v>AOA-006</x:v>
      </x:c>
      <x:c r="B71" s="10" t="str">
        <x:v>audit_governance</x:v>
      </x:c>
      <x:c r="C71" s="10" t="str">
        <x:v>P1</x:v>
      </x:c>
      <x:c r="D71" s="10" t="str">
        <x:v>process</x:v>
      </x:c>
      <x:c r="E71" s="10" t="str">
        <x:v>Audit governance</x:v>
      </x:c>
      <x:c r="F71" s="11" t="n">
        <x:v>0</x:v>
      </x:c>
      <x:c r="G71" s="10" t="str">
        <x:v>implemented</x:v>
      </x:c>
      <x:c r="H71" s="10" t="str">
        <x:v>Canonical event split was mislabeled non-blocking</x:v>
      </x:c>
      <x:c r="I71" s="10" t="str">
        <x:v>Keep event convergence launch-blocking through LG-14.</x:v>
      </x:c>
      <x:c r="J71" s="10" t="str">
        <x:v>ADM-WF-017</x:v>
      </x:c>
      <x:c r="K71" s="10" t="str">
        <x:v>Engineering assurance</x:v>
      </x:c>
      <x:c r="L71" s="10" t="str"/>
      <x:c r="M71" s="10" t="str">
        <x:v>EVD-WAVE0-CONTROLS-COMMIT</x:v>
      </x:c>
    </x:row>
    <x:row r="72" ht="43" customHeight="1">
      <x:c r="A72" s="10" t="str">
        <x:v>AOA-007</x:v>
      </x:c>
      <x:c r="B72" s="10" t="str">
        <x:v>audit_governance</x:v>
      </x:c>
      <x:c r="C72" s="10" t="str">
        <x:v>P1</x:v>
      </x:c>
      <x:c r="D72" s="10" t="str">
        <x:v>process</x:v>
      </x:c>
      <x:c r="E72" s="10" t="str">
        <x:v>Audit governance</x:v>
      </x:c>
      <x:c r="F72" s="11" t="n">
        <x:v>0</x:v>
      </x:c>
      <x:c r="G72" s="10" t="str">
        <x:v>reproduced</x:v>
      </x:c>
      <x:c r="H72" s="10" t="str">
        <x:v>Runtime persona kit is stale and incomplete</x:v>
      </x:c>
      <x:c r="I72" s="10" t="str">
        <x:v>Replace it with strict current-route producer/recipient and negative tests on named staging.</x:v>
      </x:c>
      <x:c r="J72" s="10" t="str">
        <x:v>ADM-WF-017</x:v>
      </x:c>
      <x:c r="K72" s="10"/>
      <x:c r="L72" s="10" t="str"/>
      <x:c r="M72" s="10" t="str"/>
    </x:row>
    <x:row r="73" ht="43" customHeight="1">
      <x:c r="A73" s="10" t="str">
        <x:v>AOA-008</x:v>
      </x:c>
      <x:c r="B73" s="10" t="str">
        <x:v>audit_governance</x:v>
      </x:c>
      <x:c r="C73" s="10" t="str">
        <x:v>P1</x:v>
      </x:c>
      <x:c r="D73" s="10" t="str">
        <x:v>process</x:v>
      </x:c>
      <x:c r="E73" s="10" t="str">
        <x:v>Audit governance</x:v>
      </x:c>
      <x:c r="F73" s="11" t="n">
        <x:v>0</x:v>
      </x:c>
      <x:c r="G73" s="10" t="str">
        <x:v>implemented</x:v>
      </x:c>
      <x:c r="H73" s="10" t="str">
        <x:v>Three narrative findings were lost in the crosswalk</x:v>
      </x:c>
      <x:c r="I73" s="10" t="str">
        <x:v>Preserve ADM-M-062 through ADM-M-064 and enforce stable finding-count invariants.</x:v>
      </x:c>
      <x:c r="J73" s="10" t="str">
        <x:v>ADM-WF-017</x:v>
      </x:c>
      <x:c r="K73" s="10" t="str">
        <x:v>Engineering assurance</x:v>
      </x:c>
      <x:c r="L73" s="10" t="str"/>
      <x:c r="M73" s="10" t="str">
        <x:v>EVD-WAVE0-CONTROLS-COMMIT; EVD-WAVE0-AUDIT-REGISTRY-LOCAL</x:v>
      </x:c>
    </x:row>
    <x:row r="74" ht="43" customHeight="1">
      <x:c r="A74" s="10" t="str">
        <x:v>AOA-009</x:v>
      </x:c>
      <x:c r="B74" s="10" t="str">
        <x:v>audit_governance</x:v>
      </x:c>
      <x:c r="C74" s="10" t="str">
        <x:v>P1</x:v>
      </x:c>
      <x:c r="D74" s="10" t="str">
        <x:v>process</x:v>
      </x:c>
      <x:c r="E74" s="10" t="str">
        <x:v>Audit governance</x:v>
      </x:c>
      <x:c r="F74" s="11" t="n">
        <x:v>0</x:v>
      </x:c>
      <x:c r="G74" s="10" t="str">
        <x:v>implemented</x:v>
      </x:c>
      <x:c r="H74" s="10" t="str">
        <x:v>Acceptance criteria are templated rather than functional</x:v>
      </x:c>
      <x:c r="I74" s="10" t="str">
        <x:v>Require producer, database/API, side-effect, recipient, isolation, retry, and rollback criteria.</x:v>
      </x:c>
      <x:c r="J74" s="10" t="str">
        <x:v>ADM-WF-017</x:v>
      </x:c>
      <x:c r="K74" s="10" t="str">
        <x:v>Engineering assurance</x:v>
      </x:c>
      <x:c r="L74" s="10" t="str"/>
      <x:c r="M74" s="10" t="str">
        <x:v>EVD-WAVE0-CONTROLS-COMMIT; EVD-WAVE0-AUDIT-REGISTRY-LOCAL</x:v>
      </x:c>
    </x:row>
    <x:row r="75" ht="43" customHeight="1">
      <x:c r="A75" s="10" t="str">
        <x:v>AOA-010</x:v>
      </x:c>
      <x:c r="B75" s="10" t="str">
        <x:v>audit_governance</x:v>
      </x:c>
      <x:c r="C75" s="10" t="str">
        <x:v>P1</x:v>
      </x:c>
      <x:c r="D75" s="10" t="str">
        <x:v>process</x:v>
      </x:c>
      <x:c r="E75" s="10" t="str">
        <x:v>Audit governance</x:v>
      </x:c>
      <x:c r="F75" s="11" t="n">
        <x:v>0</x:v>
      </x:c>
      <x:c r="G75" s="10" t="str">
        <x:v>implemented</x:v>
      </x:c>
      <x:c r="H75" s="10" t="str">
        <x:v>Duplicate task and finding systems invite double counting</x:v>
      </x:c>
      <x:c r="I75" s="10" t="str">
        <x:v>Link spec tasks, findings, workflows, gates, and evidence by stable IDs in one registry.</x:v>
      </x:c>
      <x:c r="J75" s="10" t="str">
        <x:v>ADM-WF-017</x:v>
      </x:c>
      <x:c r="K75" s="10" t="str">
        <x:v>Engineering assurance</x:v>
      </x:c>
      <x:c r="L75" s="10" t="str"/>
      <x:c r="M75" s="10" t="str">
        <x:v>EVD-WAVE0-CONTROLS-COMMIT; EVD-WAVE0-AUDIT-REGISTRY-LOCAL</x:v>
      </x:c>
    </x:row>
    <x:row r="76" ht="43" customHeight="1">
      <x:c r="A76" s="10" t="str">
        <x:v>AOA-011</x:v>
      </x:c>
      <x:c r="B76" s="10" t="str">
        <x:v>audit_governance</x:v>
      </x:c>
      <x:c r="C76" s="10" t="str">
        <x:v>P1</x:v>
      </x:c>
      <x:c r="D76" s="10" t="str">
        <x:v>process</x:v>
      </x:c>
      <x:c r="E76" s="10" t="str">
        <x:v>Audit governance</x:v>
      </x:c>
      <x:c r="F76" s="11" t="n">
        <x:v>0</x:v>
      </x:c>
      <x:c r="G76" s="10" t="str">
        <x:v>implemented</x:v>
      </x:c>
      <x:c r="H76" s="10" t="str">
        <x:v>Source finding IDs were renamed inconsistently</x:v>
      </x:c>
      <x:c r="I76" s="10" t="str">
        <x:v>Preserve canonical and source IDs separately and reject duplicate or unstable canonical IDs.</x:v>
      </x:c>
      <x:c r="J76" s="10" t="str">
        <x:v>ADM-WF-017</x:v>
      </x:c>
      <x:c r="K76" s="10" t="str">
        <x:v>Engineering assurance</x:v>
      </x:c>
      <x:c r="L76" s="10" t="str"/>
      <x:c r="M76" s="10" t="str">
        <x:v>EVD-WAVE0-CONTROLS-COMMIT; EVD-WAVE0-AUDIT-REGISTRY-LOCAL</x:v>
      </x:c>
    </x:row>
    <x:row r="77" ht="43" customHeight="1">
      <x:c r="A77" s="10" t="str">
        <x:v>AOA-012</x:v>
      </x:c>
      <x:c r="B77" s="10" t="str">
        <x:v>audit_governance</x:v>
      </x:c>
      <x:c r="C77" s="10" t="str">
        <x:v>P1</x:v>
      </x:c>
      <x:c r="D77" s="10" t="str">
        <x:v>process</x:v>
      </x:c>
      <x:c r="E77" s="10" t="str">
        <x:v>Audit governance</x:v>
      </x:c>
      <x:c r="F77" s="11" t="n">
        <x:v>0</x:v>
      </x:c>
      <x:c r="G77" s="10" t="str">
        <x:v>in_progress</x:v>
      </x:c>
      <x:c r="H77" s="10" t="str">
        <x:v>Test failure summaries are internally inconsistent</x:v>
      </x:c>
      <x:c r="I77" s="10" t="str">
        <x:v>Store raw test evidence and derive counts; never type narrative counts by hand.</x:v>
      </x:c>
      <x:c r="J77" s="10" t="str">
        <x:v>ADM-WF-017</x:v>
      </x:c>
      <x:c r="K77" s="10" t="str">
        <x:v>Quality engineering</x:v>
      </x:c>
      <x:c r="L77" s="10" t="str"/>
      <x:c r="M77" s="10" t="str">
        <x:v>EVD-WAVE0-ADMIN-TESTS-LOCAL</x:v>
      </x:c>
    </x:row>
    <x:row r="78" ht="43" customHeight="1">
      <x:c r="A78" s="10" t="str">
        <x:v>AOA-013</x:v>
      </x:c>
      <x:c r="B78" s="10" t="str">
        <x:v>audit_governance</x:v>
      </x:c>
      <x:c r="C78" s="10" t="str">
        <x:v>P1</x:v>
      </x:c>
      <x:c r="D78" s="10" t="str">
        <x:v>process</x:v>
      </x:c>
      <x:c r="E78" s="10" t="str">
        <x:v>Audit governance</x:v>
      </x:c>
      <x:c r="F78" s="11" t="n">
        <x:v>0</x:v>
      </x:c>
      <x:c r="G78" s="10" t="str">
        <x:v>in_progress</x:v>
      </x:c>
      <x:c r="H78" s="10" t="str">
        <x:v>Live-audit provenance is missing</x:v>
      </x:c>
      <x:c r="I78" s="10" t="str">
        <x:v>Require source manifests and immutable evidence receipts for live database and platform claims.</x:v>
      </x:c>
      <x:c r="J78" s="10" t="str">
        <x:v>ADM-WF-017</x:v>
      </x:c>
      <x:c r="K78" s="10" t="str">
        <x:v>Database security</x:v>
      </x:c>
      <x:c r="L78" s="10" t="str"/>
      <x:c r="M78" s="10" t="str">
        <x:v>EVD-WAVE0-MIGRATIONS-LOCAL</x:v>
      </x:c>
    </x:row>
    <x:row r="79" ht="43" customHeight="1">
      <x:c r="A79" s="10" t="str">
        <x:v>AOA-014</x:v>
      </x:c>
      <x:c r="B79" s="10" t="str">
        <x:v>audit_governance</x:v>
      </x:c>
      <x:c r="C79" s="10" t="str">
        <x:v>P2</x:v>
      </x:c>
      <x:c r="D79" s="10" t="str">
        <x:v>process</x:v>
      </x:c>
      <x:c r="E79" s="10" t="str">
        <x:v>Audit governance</x:v>
      </x:c>
      <x:c r="F79" s="11" t="n">
        <x:v>0</x:v>
      </x:c>
      <x:c r="G79" s="10" t="str">
        <x:v>implemented</x:v>
      </x:c>
      <x:c r="H79" s="10" t="str">
        <x:v>Finding domain classifications are unreliable</x:v>
      </x:c>
      <x:c r="I79" s="10" t="str">
        <x:v>Use workflow linkage and a separately governed domain field without changing stable IDs.</x:v>
      </x:c>
      <x:c r="J79" s="10" t="str">
        <x:v>ADM-WF-017</x:v>
      </x:c>
      <x:c r="K79" s="10" t="str">
        <x:v>Engineering assurance</x:v>
      </x:c>
      <x:c r="L79" s="10" t="str"/>
      <x:c r="M79" s="10" t="str">
        <x:v>EVD-WAVE0-CONTROLS-COMMIT; EVD-WAVE0-AUDIT-REGISTRY-LOCAL</x:v>
      </x:c>
    </x:row>
    <x:row r="80" ht="43" customHeight="1">
      <x:c r="A80" s="10" t="str">
        <x:v>AOA-015</x:v>
      </x:c>
      <x:c r="B80" s="10" t="str">
        <x:v>audit_governance</x:v>
      </x:c>
      <x:c r="C80" s="10" t="str">
        <x:v>P2</x:v>
      </x:c>
      <x:c r="D80" s="10" t="str">
        <x:v>process</x:v>
      </x:c>
      <x:c r="E80" s="10" t="str">
        <x:v>Audit governance</x:v>
      </x:c>
      <x:c r="F80" s="11" t="n">
        <x:v>0</x:v>
      </x:c>
      <x:c r="G80" s="10" t="str">
        <x:v>in_progress</x:v>
      </x:c>
      <x:c r="H80" s="10" t="str">
        <x:v>Audit reproduction used divergent paths and dirty workspaces</x:v>
      </x:c>
      <x:c r="I80" s="10" t="str">
        <x:v>Pin the checkpoint, branch, staging environment, and evidence commit for every verification run.</x:v>
      </x:c>
      <x:c r="J80" s="10" t="str">
        <x:v>ADM-WF-017</x:v>
      </x:c>
      <x:c r="K80" s="10" t="str">
        <x:v>Engineering assurance</x:v>
      </x:c>
      <x:c r="L80" s="10" t="str"/>
      <x:c r="M80" s="10" t="str">
        <x:v>EVD-BASELINE-CHECKPOINT; EVD-WAVE0-CONTROLS-COMMIT; EVD-WAVE0-MIGRATIONS-LOCAL</x:v>
      </x:c>
    </x:row>
  </x:sheetData>
  <x:conditionalFormatting sqref="G2:G80">
    <x:cfRule type="containsText" dxfId="0" priority="1" operator="containsText" text="done"/>
    <x:cfRule type="containsText" dxfId="1" priority="2" operator="containsText" text="implemented"/>
    <x:cfRule type="containsText" dxfId="2" priority="3" operator="containsText" text="ready_for_independent_verification"/>
    <x:cfRule type="containsText" dxfId="3" priority="4" operator="containsText" text="ready_for_staging"/>
    <x:cfRule type="containsText" dxfId="4" priority="5" operator="containsText" text="in_progress"/>
    <x:cfRule type="containsText" dxfId="5" priority="6" operator="containsText" text="reproduced"/>
    <x:cfRule type="containsText" dxfId="6" priority="7" operator="containsText" text="observed"/>
    <x:cfRule type="containsText" dxfId="7" priority="8" operator="containsText" text="not_verified"/>
    <x:cfRule type="containsText" dxfId="8" priority="9" operator="containsText" text="evidence_complete"/>
  </x:conditionalFormatting>
  <x:conditionalFormatting sqref="C2:C80">
    <x:cfRule type="containsText" dxfId="9" priority="10" operator="containsText" text="P0"/>
    <x:cfRule type="containsText" dxfId="10" priority="11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4f669699e1a645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4" hidden="0" customWidth="1"/>
    <x:col min="4" max="4" width="8" hidden="0" customWidth="1"/>
    <x:col min="5" max="5" width="14" hidden="0" customWidth="1"/>
    <x:col min="6" max="6" width="30" hidden="0" customWidth="1"/>
    <x:col min="7" max="7" width="14" hidden="0" customWidth="1"/>
    <x:col min="8" max="8" width="25" hidden="0" customWidth="1"/>
    <x:col min="9" max="9" width="24" hidden="0" customWidth="1"/>
    <x:col min="10" max="10" width="32" hidden="0" customWidth="1"/>
    <x:col min="11" max="11" width="48" hidden="0" customWidth="1"/>
    <x:col min="12" max="12" width="56" hidden="0" customWidth="1"/>
    <x:col min="13" max="13" width="36" hidden="0" customWidth="1"/>
    <x:col min="14" max="14" width="34" hidden="0" customWidth="1"/>
    <x:col min="15" max="15" width="22" hidden="0" customWidth="1"/>
    <x:col min="16" max="16" width="20" hidden="0" customWidth="1"/>
    <x:col min="17" max="17" width="34" hidden="0" customWidth="1"/>
  </x:cols>
  <x:sheetData>
    <x:row r="1" ht="30" customHeight="1">
      <x:c r="A1" s="9" t="str">
        <x:v>Workflow ID</x:v>
      </x:c>
      <x:c r="B1" s="9" t="str">
        <x:v>Title</x:v>
      </x:c>
      <x:c r="C1" s="9" t="str">
        <x:v>Domain</x:v>
      </x:c>
      <x:c r="D1" s="9" t="str">
        <x:v>Wave</x:v>
      </x:c>
      <x:c r="E1" s="9" t="str">
        <x:v>Disposition</x:v>
      </x:c>
      <x:c r="F1" s="9" t="str">
        <x:v>Status</x:v>
      </x:c>
      <x:c r="G1" s="9" t="str">
        <x:v>Producer</x:v>
      </x:c>
      <x:c r="H1" s="9" t="str">
        <x:v>Recipients</x:v>
      </x:c>
      <x:c r="I1" s="9" t="str">
        <x:v>Capability</x:v>
      </x:c>
      <x:c r="J1" s="9" t="str">
        <x:v>Tenant target</x:v>
      </x:c>
      <x:c r="K1" s="9" t="str">
        <x:v>Recipient-visible result</x:v>
      </x:c>
      <x:c r="L1" s="9" t="str">
        <x:v>Recovery</x:v>
      </x:c>
      <x:c r="M1" s="9" t="str">
        <x:v>Required tests</x:v>
      </x:c>
      <x:c r="N1" s="9" t="str">
        <x:v>Findings</x:v>
      </x:c>
      <x:c r="O1" s="9" t="str">
        <x:v>Owner</x:v>
      </x:c>
      <x:c r="P1" s="9" t="str">
        <x:v>Blockers</x:v>
      </x:c>
      <x:c r="Q1" s="9" t="str">
        <x:v>Evidence</x:v>
      </x:c>
    </x:row>
    <x:row r="2" ht="52" customHeight="1">
      <x:c r="A2" s="10" t="str">
        <x:v>ADM-WF-001</x:v>
      </x:c>
      <x:c r="B2" s="10" t="str">
        <x:v>Admin Identity and Acting Organization</x:v>
      </x:c>
      <x:c r="C2" s="10" t="str">
        <x:v>Identity and access</x:v>
      </x:c>
      <x:c r="D2" s="11" t="n">
        <x:v>1</x:v>
      </x:c>
      <x:c r="E2" s="10" t="str">
        <x:v>in_scope</x:v>
      </x:c>
      <x:c r="F2" s="10" t="str">
        <x:v>observed</x:v>
      </x:c>
      <x:c r="G2" s="10" t="str">
        <x:v>PER-002</x:v>
      </x:c>
      <x:c r="H2" s="10" t="str">
        <x:v>PER-002; PER-010</x:v>
      </x:c>
      <x:c r="I2" s="10" t="str">
        <x:v>admin.access</x:v>
      </x:c>
      <x:c r="J2" s="10" t="str">
        <x:v>acting organization and target entity</x:v>
      </x:c>
      <x:c r="K2" s="10" t="str">
        <x:v>The visible organization, server context, API scope, and database scope agree.</x:v>
      </x:c>
      <x:c r="L2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2" s="10" t="str">
        <x:v>positive; recipient; cross_org; tamper; revoked; unauthenticated; direct_data_access; idempotency; retry; rollback</x:v>
      </x:c>
      <x:c r="N2" s="10" t="str">
        <x:v>ADM-M-003; ADM-M-021; ADM-M-047; ADM-M-051; ADM-M-052; ADM-M-056</x:v>
      </x:c>
      <x:c r="O2" s="10"/>
      <x:c r="P2" s="10" t="str"/>
      <x:c r="Q2" s="10" t="str"/>
    </x:row>
    <x:row r="3" ht="52" customHeight="1">
      <x:c r="A3" s="10" t="str">
        <x:v>ADM-WF-002</x:v>
      </x:c>
      <x:c r="B3" s="10" t="str">
        <x:v>Roles, Capabilities, Grants, and Revocation</x:v>
      </x:c>
      <x:c r="C3" s="10" t="str">
        <x:v>Authorization</x:v>
      </x:c>
      <x:c r="D3" s="11" t="n">
        <x:v>1</x:v>
      </x:c>
      <x:c r="E3" s="10" t="str">
        <x:v>in_scope</x:v>
      </x:c>
      <x:c r="F3" s="10" t="str">
        <x:v>observed</x:v>
      </x:c>
      <x:c r="G3" s="10" t="str">
        <x:v>PER-001</x:v>
      </x:c>
      <x:c r="H3" s="10" t="str">
        <x:v>PER-003</x:v>
      </x:c>
      <x:c r="I3" s="10" t="str">
        <x:v>org.roles.manage</x:v>
      </x:c>
      <x:c r="J3" s="10" t="str">
        <x:v>acting organization and target entity</x:v>
      </x:c>
      <x:c r="K3" s="10" t="str">
        <x:v>Recipient navigation and server authorization update from the same effective-capability decision.</x:v>
      </x:c>
      <x:c r="L3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3" s="10" t="str">
        <x:v>positive; recipient; cross_org; tamper; revoked; unauthenticated; direct_data_access; idempotency; retry; rollback</x:v>
      </x:c>
      <x:c r="N3" s="10" t="str">
        <x:v>ADM-M-003; ADM-M-016; ADM-M-017; ADM-M-057</x:v>
      </x:c>
      <x:c r="O3" s="10"/>
      <x:c r="P3" s="10" t="str"/>
      <x:c r="Q3" s="10" t="str"/>
    </x:row>
    <x:row r="4" ht="52" customHeight="1">
      <x:c r="A4" s="10" t="str">
        <x:v>ADM-WF-003</x:v>
      </x:c>
      <x:c r="B4" s="10" t="str">
        <x:v>Provider Event Ingestion and Reconciliation</x:v>
      </x:c>
      <x:c r="C4" s="10" t="str">
        <x:v>Events</x:v>
      </x:c>
      <x:c r="D4" s="11" t="n">
        <x:v>2</x:v>
      </x:c>
      <x:c r="E4" s="10" t="str">
        <x:v>platform_internal</x:v>
      </x:c>
      <x:c r="F4" s="10" t="str">
        <x:v>observed</x:v>
      </x:c>
      <x:c r="G4" s="10" t="str">
        <x:v>PER-016</x:v>
      </x:c>
      <x:c r="H4" s="10" t="str">
        <x:v>PER-014</x:v>
      </x:c>
      <x:c r="I4" s="10" t="str">
        <x:v>platform.provider.manage</x:v>
      </x:c>
      <x:c r="J4" s="10" t="str">
        <x:v>provider record plus resolved organization</x:v>
      </x:c>
      <x:c r="K4" s="10" t="str">
        <x:v>A reviewed events_v2 record or an explicit unresolved/quarantined conflict is produced.</x:v>
      </x:c>
      <x:c r="L4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4" s="10" t="str">
        <x:v>positive; recipient; cross_org; tamper; revoked; unauthenticated; direct_data_access; idempotency; retry; rollback</x:v>
      </x:c>
      <x:c r="N4" s="10" t="str">
        <x:v>ADM-M-004; ADM-M-036</x:v>
      </x:c>
      <x:c r="O4" s="10"/>
      <x:c r="P4" s="10" t="str"/>
      <x:c r="Q4" s="10" t="str"/>
    </x:row>
    <x:row r="5" ht="52" customHeight="1">
      <x:c r="A5" s="10" t="str">
        <x:v>ADM-WF-004</x:v>
      </x:c>
      <x:c r="B5" s="10" t="str">
        <x:v>Event Lifecycle, Provisioning, and Publication</x:v>
      </x:c>
      <x:c r="C5" s="10" t="str">
        <x:v>Events</x:v>
      </x:c>
      <x:c r="D5" s="11" t="n">
        <x:v>2</x:v>
      </x:c>
      <x:c r="E5" s="10" t="str">
        <x:v>in_scope</x:v>
      </x:c>
      <x:c r="F5" s="10" t="str">
        <x:v>observed</x:v>
      </x:c>
      <x:c r="G5" s="10" t="str">
        <x:v>PER-002</x:v>
      </x:c>
      <x:c r="H5" s="10" t="str">
        <x:v>PER-007; PER-009</x:v>
      </x:c>
      <x:c r="I5" s="10" t="str">
        <x:v>event.publish</x:v>
      </x:c>
      <x:c r="J5" s="10" t="str">
        <x:v>acting organization and target entity</x:v>
      </x:c>
      <x:c r="K5" s="10" t="str">
        <x:v>Recipients see the exact published version and Admin sees delivery state.</x:v>
      </x:c>
      <x:c r="L5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5" s="10" t="str">
        <x:v>positive; recipient; cross_org; tamper; revoked; unauthenticated; direct_data_access; idempotency; retry; rollback</x:v>
      </x:c>
      <x:c r="N5" s="10" t="str">
        <x:v>ADM-M-004; ADM-M-009; ADM-M-031</x:v>
      </x:c>
      <x:c r="O5" s="10"/>
      <x:c r="P5" s="10" t="str"/>
      <x:c r="Q5" s="10" t="str"/>
    </x:row>
    <x:row r="6" ht="52" customHeight="1">
      <x:c r="A6" s="10" t="str">
        <x:v>ADM-WF-005</x:v>
      </x:c>
      <x:c r="B6" s="10" t="str">
        <x:v>Tour Planning, Stops, Assignment, and Publication</x:v>
      </x:c>
      <x:c r="C6" s="10" t="str">
        <x:v>Tours</x:v>
      </x:c>
      <x:c r="D6" s="11" t="n">
        <x:v>2</x:v>
      </x:c>
      <x:c r="E6" s="10" t="str">
        <x:v>in_scope</x:v>
      </x:c>
      <x:c r="F6" s="10" t="str">
        <x:v>observed</x:v>
      </x:c>
      <x:c r="G6" s="10" t="str">
        <x:v>PER-002</x:v>
      </x:c>
      <x:c r="H6" s="10" t="str">
        <x:v>PER-007</x:v>
      </x:c>
      <x:c r="I6" s="10" t="str">
        <x:v>tour.manage</x:v>
      </x:c>
      <x:c r="J6" s="10" t="str">
        <x:v>acting organization and target entity</x:v>
      </x:c>
      <x:c r="K6" s="10" t="str">
        <x:v>The Artist/crew itinerary matches the persisted canonical tour and event relationships.</x:v>
      </x:c>
      <x:c r="L6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6" s="10" t="str">
        <x:v>positive; recipient; cross_org; tamper; revoked; unauthenticated; direct_data_access; idempotency; retry; rollback</x:v>
      </x:c>
      <x:c r="N6" s="10" t="str">
        <x:v>ADM-M-004; ADM-M-009; ADM-M-010; ADM-M-012; ADM-M-022; ADM-M-023; ADM-M-024; ADM-M-025; ADM-M-026; ADM-M-027; ADM-M-028</x:v>
      </x:c>
      <x:c r="O6" s="10"/>
      <x:c r="P6" s="10" t="str"/>
      <x:c r="Q6" s="10" t="str"/>
    </x:row>
    <x:row r="7" ht="52" customHeight="1">
      <x:c r="A7" s="10" t="str">
        <x:v>ADM-WF-006</x:v>
      </x:c>
      <x:c r="B7" s="10" t="str">
        <x:v>Artist Assignment and Artist-Surface Delivery</x:v>
      </x:c>
      <x:c r="C7" s="10" t="str">
        <x:v>Artists and tours</x:v>
      </x:c>
      <x:c r="D7" s="11" t="n">
        <x:v>2</x:v>
      </x:c>
      <x:c r="E7" s="10" t="str">
        <x:v>in_scope</x:v>
      </x:c>
      <x:c r="F7" s="10" t="str">
        <x:v>observed</x:v>
      </x:c>
      <x:c r="G7" s="10" t="str">
        <x:v>PER-002</x:v>
      </x:c>
      <x:c r="H7" s="10" t="str">
        <x:v>PER-007</x:v>
      </x:c>
      <x:c r="I7" s="10" t="str">
        <x:v>tour.manage</x:v>
      </x:c>
      <x:c r="J7" s="10" t="str">
        <x:v>acting organization and target entity</x:v>
      </x:c>
      <x:c r="K7" s="10" t="str">
        <x:v>Assignment and removal round-trip across Admin and Artist surfaces.</x:v>
      </x:c>
      <x:c r="L7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7" s="10" t="str">
        <x:v>positive; recipient; cross_org; tamper; revoked; unauthenticated; direct_data_access; idempotency; retry; rollback</x:v>
      </x:c>
      <x:c r="N7" s="10" t="str">
        <x:v>ADM-M-005</x:v>
      </x:c>
      <x:c r="O7" s="10"/>
      <x:c r="P7" s="10" t="str"/>
      <x:c r="Q7" s="10" t="str"/>
    </x:row>
    <x:row r="8" ht="52" customHeight="1">
      <x:c r="A8" s="10" t="str">
        <x:v>ADM-WF-007</x:v>
      </x:c>
      <x:c r="B8" s="10" t="str">
        <x:v>Hiring, Candidate Invitation, and Onboarding</x:v>
      </x:c>
      <x:c r="C8" s="10" t="str">
        <x:v>Hiring</x:v>
      </x:c>
      <x:c r="D8" s="11" t="n">
        <x:v>3</x:v>
      </x:c>
      <x:c r="E8" s="10" t="str">
        <x:v>in_scope</x:v>
      </x:c>
      <x:c r="F8" s="10" t="str">
        <x:v>observed</x:v>
      </x:c>
      <x:c r="G8" s="10" t="str">
        <x:v>PER-002</x:v>
      </x:c>
      <x:c r="H8" s="10" t="str">
        <x:v>PER-008</x:v>
      </x:c>
      <x:c r="I8" s="10" t="str">
        <x:v>hiring.manage</x:v>
      </x:c>
      <x:c r="J8" s="10" t="str">
        <x:v>acting organization and target entity</x:v>
      </x:c>
      <x:c r="K8" s="10" t="str">
        <x:v>The candidate receives a usable invitation and the Admin sees delivery and onboarding state.</x:v>
      </x:c>
      <x:c r="L8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8" s="10" t="str">
        <x:v>positive; recipient; cross_org; tamper; revoked; unauthenticated; direct_data_access; idempotency; retry; rollback</x:v>
      </x:c>
      <x:c r="N8" s="10" t="str">
        <x:v>ADM-M-014; ADM-M-015; ADM-M-062</x:v>
      </x:c>
      <x:c r="O8" s="10"/>
      <x:c r="P8" s="10" t="str"/>
      <x:c r="Q8" s="10" t="str"/>
    </x:row>
    <x:row r="9" ht="52" customHeight="1">
      <x:c r="A9" s="10" t="str">
        <x:v>ADM-WF-008</x:v>
      </x:c>
      <x:c r="B9" s="10" t="str">
        <x:v>Workforce Scheduling, Roster, and Check-In</x:v>
      </x:c>
      <x:c r="C9" s="10" t="str">
        <x:v>Workforce</x:v>
      </x:c>
      <x:c r="D9" s="11" t="n">
        <x:v>3</x:v>
      </x:c>
      <x:c r="E9" s="10" t="str">
        <x:v>in_scope</x:v>
      </x:c>
      <x:c r="F9" s="10" t="str">
        <x:v>observed</x:v>
      </x:c>
      <x:c r="G9" s="10" t="str">
        <x:v>PER-002</x:v>
      </x:c>
      <x:c r="H9" s="10" t="str">
        <x:v>PER-006</x:v>
      </x:c>
      <x:c r="I9" s="10" t="str">
        <x:v>workforce.manage</x:v>
      </x:c>
      <x:c r="J9" s="10" t="str">
        <x:v>acting organization and target entity</x:v>
      </x:c>
      <x:c r="K9" s="10" t="str">
        <x:v>Admin and Worker see the same assignment state, including decline, cancel, replacement, and check-in.</x:v>
      </x:c>
      <x:c r="L9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9" s="10" t="str">
        <x:v>positive; recipient; cross_org; tamper; revoked; unauthenticated; direct_data_access; idempotency; retry; rollback</x:v>
      </x:c>
      <x:c r="N9" s="10" t="str">
        <x:v>ADM-M-006; ADM-M-029</x:v>
      </x:c>
      <x:c r="O9" s="10"/>
      <x:c r="P9" s="10" t="str"/>
      <x:c r="Q9" s="10" t="str"/>
    </x:row>
    <x:row r="10" ht="52" customHeight="1">
      <x:c r="A10" s="10" t="str">
        <x:v>ADM-WF-009</x:v>
      </x:c>
      <x:c r="B10" s="10" t="str">
        <x:v>Artist Administration and Relationship Management</x:v>
      </x:c>
      <x:c r="C10" s="10" t="str">
        <x:v>Artist administration</x:v>
      </x:c>
      <x:c r="D10" s="11" t="n">
        <x:v>4</x:v>
      </x:c>
      <x:c r="E10" s="10" t="str">
        <x:v>in_scope</x:v>
      </x:c>
      <x:c r="F10" s="10" t="str">
        <x:v>observed</x:v>
      </x:c>
      <x:c r="G10" s="10" t="str">
        <x:v>PER-002</x:v>
      </x:c>
      <x:c r="H10" s="10" t="str">
        <x:v>PER-007</x:v>
      </x:c>
      <x:c r="I10" s="10" t="str">
        <x:v>artist.manage</x:v>
      </x:c>
      <x:c r="J10" s="10" t="str">
        <x:v>acting organization and target entity</x:v>
      </x:c>
      <x:c r="K10" s="10" t="str">
        <x:v>Roster state changes without cross-organization enumeration or global-profile loss.</x:v>
      </x:c>
      <x:c r="L10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10" s="10" t="str">
        <x:v>positive; recipient; cross_org; tamper; revoked; unauthenticated; direct_data_access; idempotency; retry; rollback</x:v>
      </x:c>
      <x:c r="N10" s="10" t="str">
        <x:v>ADM-M-007; ADM-M-045; ADM-M-053</x:v>
      </x:c>
      <x:c r="O10" s="10"/>
      <x:c r="P10" s="10" t="str"/>
      <x:c r="Q10" s="10" t="str"/>
    </x:row>
    <x:row r="11" ht="52" customHeight="1">
      <x:c r="A11" s="10" t="str">
        <x:v>ADM-WF-010</x:v>
      </x:c>
      <x:c r="B11" s="10" t="str">
        <x:v>Venue Administration and Relationship Management</x:v>
      </x:c>
      <x:c r="C11" s="10" t="str">
        <x:v>Venue administration</x:v>
      </x:c>
      <x:c r="D11" s="11" t="n">
        <x:v>4</x:v>
      </x:c>
      <x:c r="E11" s="10" t="str">
        <x:v>in_scope</x:v>
      </x:c>
      <x:c r="F11" s="10" t="str">
        <x:v>observed</x:v>
      </x:c>
      <x:c r="G11" s="10" t="str">
        <x:v>PER-002</x:v>
      </x:c>
      <x:c r="H11" s="10" t="str">
        <x:v>PER-002</x:v>
      </x:c>
      <x:c r="I11" s="10" t="str">
        <x:v>venue.manage</x:v>
      </x:c>
      <x:c r="J11" s="10" t="str">
        <x:v>acting organization and target entity</x:v>
      </x:c>
      <x:c r="K11" s="10" t="str">
        <x:v>The venue list and counts contain only structurally authorized records.</x:v>
      </x:c>
      <x:c r="L11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11" s="10" t="str">
        <x:v>positive; recipient; cross_org; tamper; revoked; unauthenticated; direct_data_access; idempotency; retry; rollback</x:v>
      </x:c>
      <x:c r="N11" s="10" t="str">
        <x:v>ADM-M-008</x:v>
      </x:c>
      <x:c r="O11" s="10"/>
      <x:c r="P11" s="10" t="str"/>
      <x:c r="Q11" s="10" t="str"/>
    </x:row>
    <x:row r="12" ht="52" customHeight="1">
      <x:c r="A12" s="10" t="str">
        <x:v>ADM-WF-011</x:v>
      </x:c>
      <x:c r="B12" s="10" t="str">
        <x:v>Messaging, Conversations, and Private Files</x:v>
      </x:c>
      <x:c r="C12" s="10" t="str">
        <x:v>Communications</x:v>
      </x:c>
      <x:c r="D12" s="11" t="n">
        <x:v>4</x:v>
      </x:c>
      <x:c r="E12" s="10" t="str">
        <x:v>in_scope</x:v>
      </x:c>
      <x:c r="F12" s="10" t="str">
        <x:v>observed</x:v>
      </x:c>
      <x:c r="G12" s="10" t="str">
        <x:v>PER-002</x:v>
      </x:c>
      <x:c r="H12" s="10" t="str">
        <x:v>PER-009</x:v>
      </x:c>
      <x:c r="I12" s="10" t="str">
        <x:v>communications.send</x:v>
      </x:c>
      <x:c r="J12" s="10" t="str">
        <x:v>acting organization and target entity</x:v>
      </x:c>
      <x:c r="K12" s="10" t="str">
        <x:v>Recipient receives one authorized message and can access attachments only until expiry.</x:v>
      </x:c>
      <x:c r="L12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12" s="10" t="str">
        <x:v>positive; recipient; cross_org; tamper; revoked; unauthenticated; direct_data_access; idempotency; retry; rollback</x:v>
      </x:c>
      <x:c r="N12" s="10" t="str">
        <x:v>ADM-M-011; ADM-M-020; ADM-M-030; ADM-M-054; ADM-M-055</x:v>
      </x:c>
      <x:c r="O12" s="10"/>
      <x:c r="P12" s="10" t="str"/>
      <x:c r="Q12" s="10" t="str"/>
    </x:row>
    <x:row r="13" ht="52" customHeight="1">
      <x:c r="A13" s="10" t="str">
        <x:v>ADM-WF-012</x:v>
      </x:c>
      <x:c r="B13" s="10" t="str">
        <x:v>Broadcasts, Reminders, Notifications, and Outbox Delivery</x:v>
      </x:c>
      <x:c r="C13" s="10" t="str">
        <x:v>Delivery operations</x:v>
      </x:c>
      <x:c r="D13" s="11" t="n">
        <x:v>4</x:v>
      </x:c>
      <x:c r="E13" s="10" t="str">
        <x:v>in_scope</x:v>
      </x:c>
      <x:c r="F13" s="10" t="str">
        <x:v>observed</x:v>
      </x:c>
      <x:c r="G13" s="10" t="str">
        <x:v>PER-002</x:v>
      </x:c>
      <x:c r="H13" s="10" t="str">
        <x:v>PER-009; PER-018</x:v>
      </x:c>
      <x:c r="I13" s="10" t="str">
        <x:v>communications.send</x:v>
      </x:c>
      <x:c r="J13" s="10" t="str">
        <x:v>acting organization and target entity</x:v>
      </x:c>
      <x:c r="K13" s="10" t="str">
        <x:v>Admin sees per-recipient delivery/retry state and recipients receive at most one logical message.</x:v>
      </x:c>
      <x:c r="L13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13" s="10" t="str">
        <x:v>positive; recipient; cross_org; tamper; revoked; unauthenticated; direct_data_access; idempotency; retry; rollback</x:v>
      </x:c>
      <x:c r="N13" s="10" t="str">
        <x:v>ADM-M-014; ADM-M-031; ADM-M-063; ADM-M-064</x:v>
      </x:c>
      <x:c r="O13" s="10"/>
      <x:c r="P13" s="10" t="str"/>
      <x:c r="Q13" s="10" t="str"/>
    </x:row>
    <x:row r="14" ht="52" customHeight="1">
      <x:c r="A14" s="10" t="str">
        <x:v>ADM-WF-013</x:v>
      </x:c>
      <x:c r="B14" s="10" t="str">
        <x:v>Logistics, Travel, Lodging, Catering, and Site Maps</x:v>
      </x:c>
      <x:c r="C14" s="10" t="str">
        <x:v>Operations</x:v>
      </x:c>
      <x:c r="D14" s="11" t="n">
        <x:v>4</x:v>
      </x:c>
      <x:c r="E14" s="10" t="str">
        <x:v>in_scope</x:v>
      </x:c>
      <x:c r="F14" s="10" t="str">
        <x:v>in_progress</x:v>
      </x:c>
      <x:c r="G14" s="10" t="str">
        <x:v>PER-002</x:v>
      </x:c>
      <x:c r="H14" s="10" t="str">
        <x:v>PER-006</x:v>
      </x:c>
      <x:c r="I14" s="10" t="str">
        <x:v>logistics.manage</x:v>
      </x:c>
      <x:c r="J14" s="10" t="str">
        <x:v>acting organization and target entity</x:v>
      </x:c>
      <x:c r="K14" s="10" t="str">
        <x:v>Recipients see current scoped logistics without cross-organization or protected-data leakage.</x:v>
      </x:c>
      <x:c r="L14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14" s="10" t="str">
        <x:v>positive; recipient; cross_org; tamper; revoked; unauthenticated; direct_data_access; idempotency; retry; rollback</x:v>
      </x:c>
      <x:c r="N14" s="10" t="str">
        <x:v>ADM-M-002; ADM-M-010; ADM-M-011; ADM-M-013; ADM-M-038; ADM-M-061</x:v>
      </x:c>
      <x:c r="O14" s="10" t="str">
        <x:v>Operations engineering</x:v>
      </x:c>
      <x:c r="P14" s="10" t="str"/>
      <x:c r="Q14" s="10" t="str">
        <x:v>EVD-SEC104-SITEMAP-COMMIT; EVD-SEC104-SITEMAP-LOCAL; EVD-SEC104-SITEMAP-ACTING-COMMIT; EVD-SEC104-SITEMAP-ACTING-LOCAL; EVD-SEC104-SITEMAP-COLLAB-COMMIT; EVD-SEC104-SITEMAP-COLLAB-LOCAL; EVD-SEC104-SITEMAP-ELEMENTS-COMMIT; EVD-SEC104-SITEMAP-ELEMENTS-LOCAL; EVD-SEC104-SITEMAP-ELEMENTS-RLS-LOCAL; EVD-SEC104-LOGISTICS-DDL-LOCAL-FAIL</x:v>
      </x:c>
    </x:row>
    <x:row r="15" ht="52" customHeight="1">
      <x:c r="A15" s="10" t="str">
        <x:v>ADM-WF-014</x:v>
      </x:c>
      <x:c r="B15" s="10" t="str">
        <x:v>Finance Read-Only Reporting and Export</x:v>
      </x:c>
      <x:c r="C15" s="10" t="str">
        <x:v>Finance</x:v>
      </x:c>
      <x:c r="D15" s="11" t="n">
        <x:v>4</x:v>
      </x:c>
      <x:c r="E15" s="10" t="str">
        <x:v>in_scope</x:v>
      </x:c>
      <x:c r="F15" s="10" t="str">
        <x:v>observed</x:v>
      </x:c>
      <x:c r="G15" s="10" t="str">
        <x:v>PER-004</x:v>
      </x:c>
      <x:c r="H15" s="10" t="str">
        <x:v>PER-004</x:v>
      </x:c>
      <x:c r="I15" s="10" t="str">
        <x:v>finance.view</x:v>
      </x:c>
      <x:c r="J15" s="10" t="str">
        <x:v>acting organization and target entity</x:v>
      </x:c>
      <x:c r="K15" s="10" t="str">
        <x:v>Finance viewers obtain correct scoped reports and cannot mutate or simulate money movement.</x:v>
      </x:c>
      <x:c r="L15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15" s="10" t="str">
        <x:v>positive; recipient; cross_org; tamper; revoked; unauthenticated; direct_data_access; idempotency; retry; rollback</x:v>
      </x:c>
      <x:c r="N15" s="10" t="str">
        <x:v>ADM-M-002; ADM-M-032; ADM-M-063</x:v>
      </x:c>
      <x:c r="O15" s="10"/>
      <x:c r="P15" s="10" t="str"/>
      <x:c r="Q15" s="10" t="str"/>
    </x:row>
    <x:row r="16" ht="52" customHeight="1">
      <x:c r="A16" s="10" t="str">
        <x:v>ADM-WF-015</x:v>
      </x:c>
      <x:c r="B16" s="10" t="str">
        <x:v>Vendor and Contract Tracking</x:v>
      </x:c>
      <x:c r="C16" s="10" t="str">
        <x:v>Vendors and contracts</x:v>
      </x:c>
      <x:c r="D16" s="11" t="n">
        <x:v>4</x:v>
      </x:c>
      <x:c r="E16" s="10" t="str">
        <x:v>in_scope</x:v>
      </x:c>
      <x:c r="F16" s="10" t="str">
        <x:v>observed</x:v>
      </x:c>
      <x:c r="G16" s="10" t="str">
        <x:v>PER-002</x:v>
      </x:c>
      <x:c r="H16" s="10" t="str">
        <x:v>PER-009</x:v>
      </x:c>
      <x:c r="I16" s="10" t="str">
        <x:v>contract.manage</x:v>
      </x:c>
      <x:c r="J16" s="10" t="str">
        <x:v>acting organization and target entity</x:v>
      </x:c>
      <x:c r="K16" s="10" t="str">
        <x:v>Authorized users see tracking state while signing and unverified execution remain unavailable.</x:v>
      </x:c>
      <x:c r="L16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16" s="10" t="str">
        <x:v>positive; recipient; cross_org; tamper; revoked; unauthenticated; direct_data_access; idempotency; retry; rollback</x:v>
      </x:c>
      <x:c r="N16" s="10" t="str">
        <x:v>ADM-M-010; ADM-M-033; ADM-M-063</x:v>
      </x:c>
      <x:c r="O16" s="10"/>
      <x:c r="P16" s="10" t="str"/>
      <x:c r="Q16" s="10" t="str"/>
    </x:row>
    <x:row r="17" ht="52" customHeight="1">
      <x:c r="A17" s="10" t="str">
        <x:v>ADM-WF-016</x:v>
      </x:c>
      <x:c r="B17" s="10" t="str">
        <x:v>Navigation, Search, Accessibility, and Responsive Web</x:v>
      </x:c>
      <x:c r="C17" s="10" t="str">
        <x:v>Admin experience</x:v>
      </x:c>
      <x:c r="D17" s="11" t="n">
        <x:v>5</x:v>
      </x:c>
      <x:c r="E17" s="10" t="str">
        <x:v>in_scope</x:v>
      </x:c>
      <x:c r="F17" s="10" t="str">
        <x:v>observed</x:v>
      </x:c>
      <x:c r="G17" s="10" t="str">
        <x:v>PER-002</x:v>
      </x:c>
      <x:c r="H17" s="10" t="str">
        <x:v>PER-002</x:v>
      </x:c>
      <x:c r="I17" s="10" t="str">
        <x:v>admin.access</x:v>
      </x:c>
      <x:c r="J17" s="10" t="str">
        <x:v>acting organization and target entity</x:v>
      </x:c>
      <x:c r="K17" s="10" t="str">
        <x:v>Phone, tablet, desktop, keyboard, and screen-reader users reach the same canonical workflow state.</x:v>
      </x:c>
      <x:c r="L17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17" s="10" t="str">
        <x:v>positive; cross_org; revoked; unauthenticated; accessibility; responsive</x:v>
      </x:c>
      <x:c r="N17" s="10" t="str">
        <x:v>ADM-M-034; ADM-M-035; ADM-M-037; ADM-M-039; ADM-M-040; ADM-M-041; ADM-M-042; ADM-M-043; ADM-M-044; ADM-M-050; ADM-M-059; ADM-M-060</x:v>
      </x:c>
      <x:c r="O17" s="10"/>
      <x:c r="P17" s="10" t="str"/>
      <x:c r="Q17" s="10" t="str"/>
    </x:row>
    <x:row r="18" ht="52" customHeight="1">
      <x:c r="A18" s="10" t="str">
        <x:v>ADM-WF-017</x:v>
      </x:c>
      <x:c r="B18" s="10" t="str">
        <x:v>Reliability, Observability, Migration, and Release Evidence</x:v>
      </x:c>
      <x:c r="C18" s="10" t="str">
        <x:v>Engineering assurance</x:v>
      </x:c>
      <x:c r="D18" s="11" t="n">
        <x:v>6</x:v>
      </x:c>
      <x:c r="E18" s="10" t="str">
        <x:v>in_scope</x:v>
      </x:c>
      <x:c r="F18" s="10" t="str">
        <x:v>in_progress</x:v>
      </x:c>
      <x:c r="G18" s="10" t="str">
        <x:v>PER-017</x:v>
      </x:c>
      <x:c r="H18" s="10" t="str">
        <x:v>PER-014</x:v>
      </x:c>
      <x:c r="I18" s="10" t="str">
        <x:v>release.verify</x:v>
      </x:c>
      <x:c r="J18" s="10" t="str">
        <x:v>immutable commit and named staging environment</x:v>
      </x:c>
      <x:c r="K18" s="10" t="str">
        <x:v>Every gate resolves from immutable evidence and contradictory claims cause NO-GO.</x:v>
      </x:c>
      <x:c r="L18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18" s="10" t="str">
        <x:v>positive; direct_data_access; idempotency; retry; rollback</x:v>
      </x:c>
      <x:c r="N18" s="10" t="str">
        <x:v>ADM-M-001; ADM-M-013; ADM-M-018; ADM-M-019; ADM-M-038; ADM-M-048; ADM-M-049; ADM-M-058; ADM-M-061; AOA-001; AOA-002; AOA-003; AOA-004; AOA-005; AOA-006; AOA-007; AOA-008; AOA-009; AOA-010; AOA-011; AOA-012; AOA-013; AOA-014; AOA-015</x:v>
      </x:c>
      <x:c r="O18" s="10" t="str">
        <x:v>Engineering assurance</x:v>
      </x:c>
      <x:c r="P18" s="10" t="str"/>
      <x:c r="Q18" s="10" t="str">
        <x:v>EVD-BASELINE-CHECKPOINT; EVD-WAVE0-CONTROLS-COMMIT; EVD-WAVE0-AUDIT-REGISTRY-LOCAL; EVD-WAVE0-ADMIN-TESTS-LOCAL; EVD-WAVE0-ROUTE-REGISTRY-LOCAL; EVD-WAVE0-SERVICE-ROLE-LOCAL; EVD-WAVE0-MIGRATIONS-LOCAL; EVD-WAVE0-TYPECHECK-LOCAL-FAIL; EVD-SEC104-SITEMAP-COMMIT; EVD-SEC104-SITEMAP-LOCAL; EVD-SEC104-SITEMAP-ACTING-COMMIT; EVD-SEC104-SITEMAP-ACTING-LOCAL; EVD-SEC104-SITEMAP-COLLAB-COMMIT; EVD-SEC104-SITEMAP-COLLAB-LOCAL; EVD-SEC104-SITEMAP-ELEMENTS-COMMIT; EVD-SEC104-SITEMAP-ELEMENTS-LOCAL; EVD-SEC104-SITEMAP-ELEMENTS-RLS-LOCAL; EVD-SEC104-LOGISTICS-DDL-LOCAL-FAIL</x:v>
      </x:c>
    </x:row>
    <x:row r="19" ht="52" customHeight="1">
      <x:c r="A19" s="10" t="str">
        <x:v>ADM-WF-018</x:v>
      </x:c>
      <x:c r="B19" s="10" t="str">
        <x:v>Organization Settings, Membership, and Administration</x:v>
      </x:c>
      <x:c r="C19" s="10" t="str">
        <x:v>Organization administration</x:v>
      </x:c>
      <x:c r="D19" s="11" t="n">
        <x:v>4</x:v>
      </x:c>
      <x:c r="E19" s="10" t="str">
        <x:v>in_scope</x:v>
      </x:c>
      <x:c r="F19" s="10" t="str">
        <x:v>observed</x:v>
      </x:c>
      <x:c r="G19" s="10" t="str">
        <x:v>PER-001</x:v>
      </x:c>
      <x:c r="H19" s="10" t="str">
        <x:v>PER-003</x:v>
      </x:c>
      <x:c r="I19" s="10" t="str">
        <x:v>org.settings.manage</x:v>
      </x:c>
      <x:c r="J19" s="10" t="str">
        <x:v>acting organization and target entity</x:v>
      </x:c>
      <x:c r="K19" s="10" t="str">
        <x:v>The setting or membership change is visible only inside the target organization.</x:v>
      </x:c>
      <x:c r="L19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19" s="10" t="str">
        <x:v>positive; recipient; cross_org; tamper; revoked; unauthenticated; direct_data_access; idempotency; retry; rollback</x:v>
      </x:c>
      <x:c r="N19" s="10" t="str">
        <x:v>ADM-M-003; ADM-M-016; ADM-M-017; ADM-M-020; ADM-M-046</x:v>
      </x:c>
      <x:c r="O19" s="10"/>
      <x:c r="P19" s="10" t="str"/>
      <x:c r="Q19" s="10" t="str"/>
    </x:row>
    <x:row r="20" ht="52" customHeight="1">
      <x:c r="A20" s="10" t="str">
        <x:v>ADM-WF-019</x:v>
      </x:c>
      <x:c r="B20" s="10" t="str">
        <x:v>Ticketing, Guest Lists, Credentials, and Admissions</x:v>
      </x:c>
      <x:c r="C20" s="10" t="str">
        <x:v>Ticketing</x:v>
      </x:c>
      <x:c r="D20" s="11" t="n">
        <x:v>4</x:v>
      </x:c>
      <x:c r="E20" s="10" t="str">
        <x:v>in_scope</x:v>
      </x:c>
      <x:c r="F20" s="10" t="str">
        <x:v>observed</x:v>
      </x:c>
      <x:c r="G20" s="10" t="str">
        <x:v>PER-002</x:v>
      </x:c>
      <x:c r="H20" s="10" t="str">
        <x:v>PER-009</x:v>
      </x:c>
      <x:c r="I20" s="10" t="str">
        <x:v>ticketing.manage</x:v>
      </x:c>
      <x:c r="J20" s="10" t="str">
        <x:v>acting organization and target entity</x:v>
      </x:c>
      <x:c r="K20" s="10" t="str">
        <x:v>The intended recipient can accept and use the credential once while outsiders are denied.</x:v>
      </x:c>
      <x:c r="L20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20" s="10" t="str">
        <x:v>positive; recipient; cross_org; tamper; revoked; unauthenticated; direct_data_access; idempotency; retry; rollback</x:v>
      </x:c>
      <x:c r="N20" s="10" t="str">
        <x:v>ADM-M-002; ADM-M-010; ADM-M-013</x:v>
      </x:c>
      <x:c r="O20" s="10"/>
      <x:c r="P20" s="10" t="str"/>
      <x:c r="Q20" s="10" t="str"/>
    </x:row>
    <x:row r="21" ht="52" customHeight="1">
      <x:c r="A21" s="10" t="str">
        <x:v>ADM-WF-020</x:v>
      </x:c>
      <x:c r="B21" s="10" t="str">
        <x:v>Platform-Internal Provider and Governance Tools</x:v>
      </x:c>
      <x:c r="C21" s="10" t="str">
        <x:v>Platform administration</x:v>
      </x:c>
      <x:c r="D21" s="11" t="n">
        <x:v>4</x:v>
      </x:c>
      <x:c r="E21" s="10" t="str">
        <x:v>platform_internal</x:v>
      </x:c>
      <x:c r="F21" s="10" t="str">
        <x:v>observed</x:v>
      </x:c>
      <x:c r="G21" s="10" t="str">
        <x:v>PER-014</x:v>
      </x:c>
      <x:c r="H21" s="10" t="str">
        <x:v>PER-014</x:v>
      </x:c>
      <x:c r="I21" s="10" t="str">
        <x:v>platform.provider.manage</x:v>
      </x:c>
      <x:c r="J21" s="10" t="str">
        <x:v>platform principal plus explicitly resolved organization when data is tenant-owned</x:v>
      </x:c>
      <x:c r="K21" s="10" t="str">
        <x:v>Only platform principals can perform provider/governance operations, with complete audit evidence.</x:v>
      </x:c>
      <x:c r="L21" s="10" t="str">
        <x:v>Retry: Retry is bounded, idempotent, and exposes the last failure. Reversal: A reviewed compensating or revocation command restores the prior safe state. Partial: Partial effects remain visible and resumable; no silent success is returned.</x:v>
      </x:c>
      <x:c r="M21" s="10" t="str">
        <x:v>positive; recipient; cross_org; tamper; revoked; unauthenticated; direct_data_access; idempotency; retry; rollback</x:v>
      </x:c>
      <x:c r="N21" s="10" t="str">
        <x:v>ADM-M-036; ADM-M-060; ADM-M-064</x:v>
      </x:c>
      <x:c r="O21" s="10"/>
      <x:c r="P21" s="10" t="str"/>
      <x:c r="Q21" s="10" t="str"/>
    </x:row>
  </x:sheetData>
  <x:conditionalFormatting sqref="F2:F21">
    <x:cfRule type="containsText" dxfId="11" priority="1" operator="containsText" text="done"/>
    <x:cfRule type="containsText" dxfId="12" priority="2" operator="containsText" text="implemented"/>
    <x:cfRule type="containsText" dxfId="13" priority="3" operator="containsText" text="ready_for_independent_verification"/>
    <x:cfRule type="containsText" dxfId="14" priority="4" operator="containsText" text="ready_for_staging"/>
    <x:cfRule type="containsText" dxfId="15" priority="5" operator="containsText" text="in_progress"/>
    <x:cfRule type="containsText" dxfId="16" priority="6" operator="containsText" text="reproduced"/>
    <x:cfRule type="containsText" dxfId="17" priority="7" operator="containsText" text="observed"/>
    <x:cfRule type="containsText" dxfId="18" priority="8" operator="containsText" text="not_verified"/>
    <x:cfRule type="containsText" dxfId="19" priority="9" operator="containsText" text="evidence_complete"/>
  </x:conditionalFormatting>
  <x:pageMargins left="0.7" right="0.7" top="0.75" bottom="0.75" header="0.3" footer="0.3"/>
  <x:tableParts count="1">
    <x:tablePart xmlns:r="http://schemas.openxmlformats.org/officeDocument/2006/relationships" r:id="R1c45d33eac3d47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0" hidden="0" customWidth="1"/>
    <x:col min="5" max="5" width="32" hidden="0" customWidth="1"/>
    <x:col min="6" max="6" width="35" hidden="0" customWidth="1"/>
    <x:col min="7" max="7" width="62" hidden="0" customWidth="1"/>
    <x:col min="8" max="8" width="26" hidden="0" customWidth="1"/>
    <x:col min="9" max="9" width="22" hidden="0" customWidth="1"/>
    <x:col min="10" max="10" width="58" hidden="0" customWidth="1"/>
  </x:cols>
  <x:sheetData>
    <x:row r="1" ht="30" customHeight="1">
      <x:c r="A1" s="9" t="str">
        <x:v>Task ID</x:v>
      </x:c>
      <x:c r="B1" s="9" t="str">
        <x:v>Order</x:v>
      </x:c>
      <x:c r="C1" s="9" t="str">
        <x:v>Phase</x:v>
      </x:c>
      <x:c r="D1" s="9" t="str">
        <x:v>Doc</x:v>
      </x:c>
      <x:c r="E1" s="9" t="str">
        <x:v>Status</x:v>
      </x:c>
      <x:c r="F1" s="9" t="str">
        <x:v>Title</x:v>
      </x:c>
      <x:c r="G1" s="9" t="str">
        <x:v>Acceptance criteria</x:v>
      </x:c>
      <x:c r="H1" s="9" t="str">
        <x:v>Workflows</x:v>
      </x:c>
      <x:c r="I1" s="9" t="str">
        <x:v>Blockers</x:v>
      </x:c>
      <x:c r="J1" s="9" t="str">
        <x:v>Prior claims</x:v>
      </x:c>
    </x:row>
    <x:row r="2" ht="42" customHeight="1">
      <x:c r="A2" s="10" t="str">
        <x:v>ADR-001</x:v>
      </x:c>
      <x:c r="B2" s="11" t="n">
        <x:v>1</x:v>
      </x:c>
      <x:c r="C2" s="11" t="n">
        <x:v>0</x:v>
      </x:c>
      <x:c r="D2" s="10" t="str">
        <x:v>00</x:v>
      </x:c>
      <x:c r="E2" s="10" t="str">
        <x:v>ready_for_independent_verification</x:v>
      </x:c>
      <x:c r="F2" s="10" t="str">
        <x:v>Acting account</x:v>
      </x:c>
      <x:c r="G2" s="10" t="str">
        <x:v>How an Admin selects an organization, how it is signed into the session, and how ambiguous membership is rejected</x:v>
      </x:c>
      <x:c r="H2" s="10" t="str">
        <x:v>ADM-WF-017</x:v>
      </x:c>
      <x:c r="I2" s="10" t="str"/>
      <x:c r="J2" s="10" t="str">
        <x:v>Historical feature-spec progress ledger: done — Historical completion claim retained without automatic status credit.; Strict revalidation progress ledger: done — Decision corrected to prohibit all membership-derived selection; resolver returns 409 without verified header/session context; focused tests cover no fallback</x:v>
      </x:c>
    </x:row>
    <x:row r="3" ht="42" customHeight="1">
      <x:c r="A3" s="10" t="str">
        <x:v>ADR-002</x:v>
      </x:c>
      <x:c r="B3" s="11" t="n">
        <x:v>2</x:v>
      </x:c>
      <x:c r="C3" s="11" t="n">
        <x:v>0</x:v>
      </x:c>
      <x:c r="D3" s="10" t="str">
        <x:v>00</x:v>
      </x:c>
      <x:c r="E3" s="10" t="str">
        <x:v>ready_for_independent_verification</x:v>
      </x:c>
      <x:c r="F3" s="10" t="str">
        <x:v>Ownership</x:v>
      </x:c>
      <x:c r="G3" s="10" t="str">
        <x:v>Organization creator/master invariants, transfer behavior, and whether every tour/event must have an organization owner</x:v>
      </x:c>
      <x:c r="H3" s="10" t="str">
        <x:v>ADM-WF-017</x:v>
      </x:c>
      <x:c r="I3" s="10" t="str"/>
      <x:c r="J3" s="10" t="str">
        <x:v>Historical feature-spec progress ledger: done — Historical completion claim retained without automatic status credit.; Strict revalidation progress ledger: done — ADR defines one owner, accepted transfer, org-scoped parents/children, and delegated collaboration; enforcement gaps are assigned to SEC-105/SEC-604 rather than hidden</x:v>
      </x:c>
    </x:row>
    <x:row r="4" ht="42" customHeight="1">
      <x:c r="A4" s="10" t="str">
        <x:v>ADR-003</x:v>
      </x:c>
      <x:c r="B4" s="11" t="n">
        <x:v>3</x:v>
      </x:c>
      <x:c r="C4" s="11" t="n">
        <x:v>0</x:v>
      </x:c>
      <x:c r="D4" s="10" t="str">
        <x:v>00</x:v>
      </x:c>
      <x:c r="E4" s="10" t="str">
        <x:v>ready_for_independent_verification</x:v>
      </x:c>
      <x:c r="F4" s="10" t="str">
        <x:v>Capabilities</x:v>
      </x:c>
      <x:c r="G4" s="10" t="str">
        <x:v>Capability catalog, default roles, custom roles, inheritance, and emergency support access</x:v>
      </x:c>
      <x:c r="H4" s="10" t="str">
        <x:v>ADM-WF-017</x:v>
      </x:c>
      <x:c r="I4" s="10" t="str"/>
      <x:c r="J4" s="10" t="str">
        <x:v>Historical feature-spec progress ledger: done — Historical completion claim retained without automatic status credit.; Strict revalidation progress ledger: done — Known role defaults are additive, custom roles remain explicit-only, documented manager aliases are aligned in code and manual SQL; focused tests/lint/migration scan pass</x:v>
      </x:c>
    </x:row>
    <x:row r="5" ht="42" customHeight="1">
      <x:c r="A5" s="10" t="str">
        <x:v>ADR-004</x:v>
      </x:c>
      <x:c r="B5" s="11" t="n">
        <x:v>4</x:v>
      </x:c>
      <x:c r="C5" s="11" t="n">
        <x:v>0</x:v>
      </x:c>
      <x:c r="D5" s="10" t="str">
        <x:v>00</x:v>
      </x:c>
      <x:c r="E5" s="10" t="str">
        <x:v>ready_for_independent_verification</x:v>
      </x:c>
      <x:c r="F5" s="10" t="str">
        <x:v>Canonical event/tour records</x:v>
      </x:c>
      <x:c r="G5" s="10" t="str">
        <x:v>Authority of `tours`, `events_v2`, and normalized `tour_stops`; legacy adapter and retirement dates</x:v>
      </x:c>
      <x:c r="H5" s="10" t="str">
        <x:v>ADM-WF-017</x:v>
      </x:c>
      <x:c r="I5" s="10" t="str"/>
      <x:c r="J5" s="10" t="str">
        <x:v>Historical feature-spec progress ledger: done — Historical completion claim retained without automatic status credit.; Strict revalidation progress ledger: done — Canonical empty plans no longer revive legacy links; canonical read errors surface; create-with-stops preserves lifecycle semantics; 33 focused tests and touched lint pass</x:v>
      </x:c>
    </x:row>
    <x:row r="6" ht="42" customHeight="1">
      <x:c r="A6" s="10" t="str">
        <x:v>ADR-005</x:v>
      </x:c>
      <x:c r="B6" s="11" t="n">
        <x:v>5</x:v>
      </x:c>
      <x:c r="C6" s="11" t="n">
        <x:v>0</x:v>
      </x:c>
      <x:c r="D6" s="10" t="str">
        <x:v>00</x:v>
      </x:c>
      <x:c r="E6" s="10" t="str">
        <x:v>ready_for_independent_verification</x:v>
      </x:c>
      <x:c r="F6" s="10" t="str">
        <x:v>Publication</x:v>
      </x:c>
      <x:c r="G6" s="10" t="str">
        <x:v>What “published” means, whether publication is a snapshot, audience rules, acknowledgement, retraction, and correction behavior</x:v>
      </x:c>
      <x:c r="H6" s="10" t="str">
        <x:v>ADM-WF-017</x:v>
      </x:c>
      <x:c r="I6" s="10" t="str"/>
      <x:c r="J6" s="10" t="str">
        <x:v>Historical feature-spec progress ledger: done — Historical completion claim retained without automatic status credit.; Strict revalidation progress ledger: done — Manual migration makes committed snapshot content immutable, gates direct assembly to drafts, preserves validated lifecycle transitions; 22 focused tests/lint/safety scan pass</x:v>
      </x:c>
    </x:row>
    <x:row r="7" ht="42" customHeight="1">
      <x:c r="A7" s="10" t="str">
        <x:v>ADR-006</x:v>
      </x:c>
      <x:c r="B7" s="11" t="n">
        <x:v>6</x:v>
      </x:c>
      <x:c r="C7" s="11" t="n">
        <x:v>0</x:v>
      </x:c>
      <x:c r="D7" s="10" t="str">
        <x:v>00</x:v>
      </x:c>
      <x:c r="E7" s="10" t="str">
        <x:v>ready_for_independent_verification</x:v>
      </x:c>
      <x:c r="F7" s="10" t="str">
        <x:v>Readiness</x:v>
      </x:c>
      <x:c r="G7" s="10" t="str">
        <x:v>Mandatory blockers versus warnings, including whether venue profiles and staffing are required before publication</x:v>
      </x:c>
      <x:c r="H7" s="10" t="str">
        <x:v>ADM-WF-017</x:v>
      </x:c>
      <x:c r="I7" s="10" t="str"/>
      <x:c r="J7" s="10" t="str">
        <x:v>Historical feature-spec progress ledger: done — Historical completion claim retained without automatic status credit.; Strict revalidation progress ledger: done — ADR and shared rule catalog agree on default blockers/warnings/override authority; implementation gaps are explicitly assigned to PLAN-206/PUB-201; 16 focused tests pass</x:v>
      </x:c>
    </x:row>
    <x:row r="8" ht="42" customHeight="1">
      <x:c r="A8" s="10" t="str">
        <x:v>ADR-007</x:v>
      </x:c>
      <x:c r="B8" s="11" t="n">
        <x:v>7</x:v>
      </x:c>
      <x:c r="C8" s="11" t="n">
        <x:v>0</x:v>
      </x:c>
      <x:c r="D8" s="10" t="str">
        <x:v>00</x:v>
      </x:c>
      <x:c r="E8" s="10" t="str">
        <x:v>ready_for_independent_verification</x:v>
      </x:c>
      <x:c r="F8" s="10" t="str">
        <x:v>Ticketing</x:v>
      </x:c>
      <x:c r="G8" s="10" t="str">
        <x:v>July 2026 ticketing foundation as the sole destination model; legacy read/write cutoff and migration policy</x:v>
      </x:c>
      <x:c r="H8" s="10" t="str">
        <x:v>ADM-WF-017</x:v>
      </x:c>
      <x:c r="I8" s="10" t="str"/>
      <x:c r="J8" s="10" t="str">
        <x:v>Historical feature-spec progress ledger: done — Historical completion claim retained without automatic status credit.; Strict revalidation progress ledger: done — ADR now fails cutover closed on unavailable sources and requires persisted org cutover evidence; existing RLS/command/reconciliation contracts pass 38 focused tests</x:v>
      </x:c>
    </x:row>
    <x:row r="9" ht="42" customHeight="1">
      <x:c r="A9" s="10" t="str">
        <x:v>ADR-008</x:v>
      </x:c>
      <x:c r="B9" s="11" t="n">
        <x:v>8</x:v>
      </x:c>
      <x:c r="C9" s="11" t="n">
        <x:v>0</x:v>
      </x:c>
      <x:c r="D9" s="10" t="str">
        <x:v>00</x:v>
      </x:c>
      <x:c r="E9" s="10" t="str">
        <x:v>ready_for_independent_verification</x:v>
      </x:c>
      <x:c r="F9" s="10" t="str">
        <x:v>Financial accounting boundary</x:v>
      </x:c>
      <x:c r="G9" s="10" t="str">
        <x:v>Operational subledger scope, approval thresholds, settlement rules, and external accounting integration boundary</x:v>
      </x:c>
      <x:c r="H9" s="10" t="str">
        <x:v>ADM-WF-017</x:v>
      </x:c>
      <x:c r="I9" s="10" t="str"/>
      <x:c r="J9" s="10" t="str">
        <x:v>Historical feature-spec progress ledger: done — Historical completion claim retained without automatic status credit.; Strict revalidation progress ledger: done — ADR explicitly preserves separation of duties, audited threshold override, immutable approved/posted/final records, and compensating corrections; 77 focused tests pass</x:v>
      </x:c>
    </x:row>
    <x:row r="10" ht="42" customHeight="1">
      <x:c r="A10" s="10" t="str">
        <x:v>ADR-009</x:v>
      </x:c>
      <x:c r="B10" s="11" t="n">
        <x:v>9</x:v>
      </x:c>
      <x:c r="C10" s="11" t="n">
        <x:v>0</x:v>
      </x:c>
      <x:c r="D10" s="10" t="str">
        <x:v>00</x:v>
      </x:c>
      <x:c r="E10" s="10" t="str">
        <x:v>ready_for_independent_verification</x:v>
      </x:c>
      <x:c r="F10" s="10" t="str">
        <x:v>Deletion/retention</x:v>
      </x:c>
      <x:c r="G10" s="10" t="str">
        <x:v>Archive versus delete for tours/events and retention requirements for finance, tickets, contracts, incidents, and audit logs</x:v>
      </x:c>
      <x:c r="H10" s="10" t="str">
        <x:v>ADM-WF-017</x:v>
      </x:c>
      <x:c r="I10" s="10" t="str"/>
      <x:c r="J10" s="10" t="str">
        <x:v>Historical feature-spec progress ledger: done — Historical completion claim retained without automatic status credit.; Strict revalidation progress ledger: done — ADR now states archive cannot weaken retention and purge must be scoped, previewed, idempotent, audited, and fail closed; 60 focused lifecycle/retention tests pass</x:v>
      </x:c>
    </x:row>
    <x:row r="11" ht="42" customHeight="1">
      <x:c r="A11" s="10" t="str">
        <x:v>ADR-010</x:v>
      </x:c>
      <x:c r="B11" s="11" t="n">
        <x:v>10</x:v>
      </x:c>
      <x:c r="C11" s="11" t="n">
        <x:v>0</x:v>
      </x:c>
      <x:c r="D11" s="10" t="str">
        <x:v>00</x:v>
      </x:c>
      <x:c r="E11" s="10" t="str">
        <x:v>ready_for_independent_verification</x:v>
      </x:c>
      <x:c r="F11" s="10" t="str">
        <x:v>Time/currency</x:v>
      </x:c>
      <x:c r="G11" s="10" t="str">
        <x:v>Storage in UTC, venue-local display, daylight-saving behavior, base/reporting currency, FX source, and rounding rules</x:v>
      </x:c>
      <x:c r="H11" s="10" t="str">
        <x:v>ADM-WF-017</x:v>
      </x:c>
      <x:c r="I11" s="10" t="str"/>
      <x:c r="J11" s="10" t="str">
        <x:v>Historical feature-spec progress ledger: done — Historical completion claim retained without automatic status credit.; Strict revalidation progress ledger: done — ADR now forbids silent DST shifts, unknown currency exponents, and zero/drop fallback for missing FX; current time/currency contracts pass 103 focused tests</x:v>
      </x:c>
    </x:row>
    <x:row r="12" ht="42" customHeight="1">
      <x:c r="A12" s="10" t="str">
        <x:v>PLAN-001</x:v>
      </x:c>
      <x:c r="B12" s="11" t="n">
        <x:v>11</x:v>
      </x:c>
      <x:c r="C12" s="11" t="n">
        <x:v>0</x:v>
      </x:c>
      <x:c r="D12" s="10" t="str">
        <x:v>03</x:v>
      </x:c>
      <x:c r="E12" s="10" t="str">
        <x:v>ready_for_independent_verification</x:v>
      </x:c>
      <x:c r="F12" s="10" t="str">
        <x:v>Approve stop/event identity ADR</x:v>
      </x:c>
      <x:c r="G12" s="10" t="str">
        <x:v>Rules cover new event, existing event, shared event, non-show day, detach, cancellation, archive, delete, and settlement protection.</x:v>
      </x:c>
      <x:c r="H12" s="10" t="str">
        <x:v>ADM-WF-005</x:v>
      </x:c>
      <x:c r="I12" s="10" t="str"/>
      <x:c r="J12" s="10" t="str">
        <x:v>Historical feature-spec progress ledger: done — Historical completion claim retained without automatic status credit.; Strict revalidation progress ledger: done — ADR-004 now explicitly covers new/existing/shared events, non-show stops, detach, cancel, archive, draft delete, and settled/protected impact handling</x:v>
      </x:c>
    </x:row>
    <x:row r="13" ht="42" customHeight="1">
      <x:c r="A13" s="10" t="str">
        <x:v>PLAN-002</x:v>
      </x:c>
      <x:c r="B13" s="11" t="n">
        <x:v>12</x:v>
      </x:c>
      <x:c r="C13" s="11" t="n">
        <x:v>0</x:v>
      </x:c>
      <x:c r="D13" s="10" t="str">
        <x:v>03</x:v>
      </x:c>
      <x:c r="E13" s="10" t="str">
        <x:v>ready_for_independent_verification</x:v>
      </x:c>
      <x:c r="F13" s="10" t="str">
        <x:v>Inventory route JSON/settings</x:v>
      </x:c>
      <x:c r="G13" s="10" t="str">
        <x:v>Every current field has canonical destination, migration/default rule, compatibility read period, and retirement owner.</x:v>
      </x:c>
      <x:c r="H13" s="10" t="str">
        <x:v>ADM-WF-005</x:v>
      </x:c>
      <x:c r="I13" s="10" t="str"/>
      <x:c r="J13" s="10" t="str">
        <x:v>Historical feature-spec progress ledger: done — Historical completion claim retained without automatic status credit.; Strict revalidation progress ledger: done — Inventory now reflects canonical tour_stops authority and maps all route, stop, compatibility, operational-intent, and free-text fields with cutover/retirement ownership</x:v>
      </x:c>
    </x:row>
    <x:row r="14" ht="42" customHeight="1">
      <x:c r="A14" s="10" t="str">
        <x:v>PLAN-003</x:v>
      </x:c>
      <x:c r="B14" s="11" t="n">
        <x:v>13</x:v>
      </x:c>
      <x:c r="C14" s="11" t="n">
        <x:v>0</x:v>
      </x:c>
      <x:c r="D14" s="10" t="str">
        <x:v>03</x:v>
      </x:c>
      <x:c r="E14" s="10" t="str">
        <x:v>ready_for_independent_verification</x:v>
      </x:c>
      <x:c r="F14" s="10" t="str">
        <x:v>Fix readiness contract decision</x:v>
      </x:c>
      <x:c r="G14" s="10" t="str">
        <x:v>Product decides venue-profile and staffing requirements; UI/server/tests use the same blockers/warnings and explain remediation.</x:v>
      </x:c>
      <x:c r="H14" s="10" t="str">
        <x:v>ADM-WF-005</x:v>
      </x:c>
      <x:c r="I14" s="10" t="str"/>
      <x:c r="J14" s="10" t="str">
        <x:v>Historical feature-spec progress ledger: done — Historical completion claim retained without automatic status credit.; Strict revalidation progress ledger: done — Venue identity is blocker; missing venue profile/staffing are warnings; UI/server share stable rule IDs/remediation; 33 focused tests pass</x:v>
      </x:c>
    </x:row>
    <x:row r="15" ht="42" customHeight="1">
      <x:c r="A15" s="10" t="str">
        <x:v>PUB-001</x:v>
      </x:c>
      <x:c r="B15" s="11" t="n">
        <x:v>14</x:v>
      </x:c>
      <x:c r="C15" s="11" t="n">
        <x:v>0</x:v>
      </x:c>
      <x:c r="D15" s="10" t="str">
        <x:v>04</x:v>
      </x:c>
      <x:c r="E15" s="10" t="str">
        <x:v>ready_for_independent_verification</x:v>
      </x:c>
      <x:c r="F15" s="10" t="str">
        <x:v>Approve publication ADR</x:v>
      </x:c>
      <x:c r="G15" s="10" t="str">
        <x:v>Defines snapshot immutability, types, readiness, overrides, audience evaluation, acknowledgement, corrections, retraction, and retention.</x:v>
      </x:c>
      <x:c r="H15" s="10" t="str">
        <x:v>ADM-WF-004; ADM-WF-012</x:v>
      </x:c>
      <x:c r="I15" s="10" t="str"/>
      <x:c r="J15" s="10" t="str">
        <x:v>Historical feature-spec progress ledger: done — Historical completion claim retained without automatic status credit.; Strict revalidation progress ledger: done — Publication ADR locks immutable snapshots, supported types, readiness/override authority, evaluated audiences, acknowledgement, versioned correction, retraction, and retention; ADR-005 database guards are queued as manual SQL</x:v>
      </x:c>
    </x:row>
    <x:row r="16" ht="42" customHeight="1">
      <x:c r="A16" s="10" t="str">
        <x:v>PUB-002</x:v>
      </x:c>
      <x:c r="B16" s="11" t="n">
        <x:v>15</x:v>
      </x:c>
      <x:c r="C16" s="11" t="n">
        <x:v>0</x:v>
      </x:c>
      <x:c r="D16" s="10" t="str">
        <x:v>04</x:v>
      </x:c>
      <x:c r="E16" s="10" t="str">
        <x:v>ready_for_independent_verification</x:v>
      </x:c>
      <x:c r="F16" s="10" t="str">
        <x:v>Classify publishable fields</x:v>
      </x:c>
      <x:c r="G16" s="10" t="str">
        <x:v>Every section/field has audience class such as internal, worker, department, vendor, public, financial, personnel, or sensitive traveler data.</x:v>
      </x:c>
      <x:c r="H16" s="10" t="str">
        <x:v>ADM-WF-004; ADM-WF-012</x:v>
      </x:c>
      <x:c r="I16" s="10" t="str"/>
      <x:c r="J16" s="10" t="str">
        <x:v>Historical feature-spec progress ledger: done — Historical completion claim retained without automatic status credit.; Strict revalidation progress ledger: done — Canonical section defaults classify every nested leaf; protected fields elevate access; unknown custom sections fail closed unless explicitly classified; manifest records resolved field map; 23 focused tests/lint pass</x:v>
      </x:c>
    </x:row>
    <x:row r="17" ht="42" customHeight="1">
      <x:c r="A17" s="10" t="str">
        <x:v>TIX-001</x:v>
      </x:c>
      <x:c r="B17" s="11" t="n">
        <x:v>16</x:v>
      </x:c>
      <x:c r="C17" s="11" t="n">
        <x:v>0</x:v>
      </x:c>
      <x:c r="D17" s="10" t="str">
        <x:v>09</x:v>
      </x:c>
      <x:c r="E17" s="10" t="str">
        <x:v>ready_for_independent_verification</x:v>
      </x:c>
      <x:c r="F17" s="10" t="str">
        <x:v>Approve canonical ticketing ADR</x:v>
      </x:c>
      <x:c r="G17" s="10" t="str">
        <x:v>Destination tables, inventory ledger, external provider boundary, cutover, refunds, capacity source, and retention are decided.</x:v>
      </x:c>
      <x:c r="H17" s="10" t="str">
        <x:v>ADM-WF-019</x:v>
      </x:c>
      <x:c r="I17" s="10" t="str"/>
      <x:c r="J17" s="10" t="str">
        <x:v>Historical feature-spec progress ledger: done — Historical completion claim retained without automatic status credit.; Strict revalidation progress ledger: done — ADR now decides canonical tables, append-only inventory, provider boundary, explicit capacity source, audited refunds/reversals, persisted cutover evidence, and ADR-009 retention; 41 tests pass</x:v>
      </x:c>
    </x:row>
    <x:row r="18" ht="42" customHeight="1">
      <x:c r="A18" s="10" t="str">
        <x:v>TIX-002</x:v>
      </x:c>
      <x:c r="B18" s="11" t="n">
        <x:v>17</x:v>
      </x:c>
      <x:c r="C18" s="11" t="n">
        <x:v>0</x:v>
      </x:c>
      <x:c r="D18" s="10" t="str">
        <x:v>09</x:v>
      </x:c>
      <x:c r="E18" s="10" t="str">
        <x:v>ready_for_independent_verification</x:v>
      </x:c>
      <x:c r="F18" s="10" t="str">
        <x:v>Inventory legacy/new data and consumers</x:v>
      </x:c>
      <x:c r="G18" s="10" t="str">
        <x:v>Tables/routes/pages/jobs/webhooks/reports map to destination, compatibility period, reconciliation query, and retirement milestone.</x:v>
      </x:c>
      <x:c r="H18" s="10" t="str">
        <x:v>ADM-WF-019</x:v>
      </x:c>
      <x:c r="I18" s="10" t="str"/>
      <x:c r="J18" s="10" t="str">
        <x:v>Historical feature-spec progress ledger: done — Historical completion claim retained without automatic status credit.; Strict revalidation progress ledger: done — Repository inventory maps bridge/canonical/inactive tables, all consumer families, missing workers, reconciliation queries/evidence, owners, and retirement gates; bridge-anchor contradiction remains explicit; 33 tests pass</x:v>
      </x:c>
    </x:row>
    <x:row r="19" ht="42" customHeight="1">
      <x:c r="A19" s="10" t="str">
        <x:v>FIN-001</x:v>
      </x:c>
      <x:c r="B19" s="11" t="n">
        <x:v>18</x:v>
      </x:c>
      <x:c r="C19" s="11" t="n">
        <x:v>0</x:v>
      </x:c>
      <x:c r="D19" s="10" t="str">
        <x:v>10</x:v>
      </x:c>
      <x:c r="E19" s="10" t="str">
        <x:v>ready_for_independent_verification</x:v>
      </x:c>
      <x:c r="F19" s="10" t="str">
        <x:v>Approve operational accounting ADR</x:v>
      </x:c>
      <x:c r="G19" s="10" t="str">
        <x:v>Defines authoritative records, statuses/posting, currency/FX/rounding, approval/separation, settlement, correction, retention, and external system boundary.</x:v>
      </x:c>
      <x:c r="H19" s="10" t="str">
        <x:v>ADM-WF-014</x:v>
      </x:c>
      <x:c r="I19" s="10" t="str"/>
      <x:c r="J19" s="10" t="str">
        <x:v>Historical feature-spec progress ledger: done — Historical completion claim retained without automatic status credit.; Strict revalidation progress ledger: done — ADR defines authoritative subledger records, lifecycle/posting, currency/FX/rounding, approval/separation, settlement, corrections, retention, and ERP boundary; 142 tests pass</x:v>
      </x:c>
    </x:row>
    <x:row r="20" ht="42" customHeight="1">
      <x:c r="A20" s="10" t="str">
        <x:v>FIN-002</x:v>
      </x:c>
      <x:c r="B20" s="11" t="n">
        <x:v>19</x:v>
      </x:c>
      <x:c r="C20" s="11" t="n">
        <x:v>0</x:v>
      </x:c>
      <x:c r="D20" s="10" t="str">
        <x:v>10</x:v>
      </x:c>
      <x:c r="E20" s="10" t="str">
        <x:v>reproduced</x:v>
      </x:c>
      <x:c r="F20" s="10" t="str">
        <x:v>Inventory deployed finance data/policies</x:v>
      </x:c>
      <x:c r="G20" s="10" t="str">
        <x:v>Table/policy/grant/row counts, org/parent coverage, currency formats, duplicates, orphan/raw IDs, and legacy consumers are documented.</x:v>
      </x:c>
      <x:c r="H20" s="10" t="str">
        <x:v>ADM-WF-014</x:v>
      </x:c>
      <x:c r="I20" s="10" t="str">
        <x:v>BLK-FIN-002-001</x:v>
      </x:c>
      <x:c r="J20" s="10" t="str">
        <x:v>Historical feature-spec progress ledger: done — Historical completion claim retained without automatic status credit.; Strict revalidation progress ledger: blocked — Repository inventory and read-only evidence pack complete; hosted Tourify Demo migration/policy/grant/row/quarantine/advisor output is required and cannot be inferred or executed without production access</x:v>
      </x:c>
    </x:row>
    <x:row r="21" ht="42" customHeight="1">
      <x:c r="A21" s="10" t="str">
        <x:v>CONT-101</x:v>
      </x:c>
      <x:c r="B21" s="11" t="n">
        <x:v>20</x:v>
      </x:c>
      <x:c r="C21" s="11" t="n">
        <x:v>0</x:v>
      </x:c>
      <x:c r="D21" s="10" t="str">
        <x:v>11</x:v>
      </x:c>
      <x:c r="E21" s="10" t="str">
        <x:v>ready_for_independent_verification</x:v>
      </x:c>
      <x:c r="F21" s="10" t="str">
        <x:v>Approve contract lifecycle/provider ADR</x:v>
      </x:c>
      <x:c r="G21" s="10" t="str">
        <x:v>Contract types/states, template/version, approval, signature modes, executed definition, amendment, obligation, retention and provider boundary are decided.</x:v>
      </x:c>
      <x:c r="H21" s="10" t="str">
        <x:v>ADM-WF-015</x:v>
      </x:c>
      <x:c r="I21" s="10" t="str"/>
      <x:c r="J21" s="10" t="str">
        <x:v>Historical feature-spec progress ledger: done — Historical completion claim retained without automatic status credit.; Strict revalidation progress ledger: done — ADR decides canonical types/states, immutable template/version evidence, approvals/SoD, signature modes/providers, executed semantics, amendments, obligations, seven-year retention/legal hold, and fail-closed provider/webhook boundary; 64 tests pass</x:v>
      </x:c>
    </x:row>
    <x:row r="22" ht="42" customHeight="1">
      <x:c r="A22" s="10" t="str">
        <x:v>SEC-001</x:v>
      </x:c>
      <x:c r="B22" s="11" t="n">
        <x:v>21</x:v>
      </x:c>
      <x:c r="C22" s="11" t="n">
        <x:v>0</x:v>
      </x:c>
      <x:c r="D22" s="10" t="str">
        <x:v>01</x:v>
      </x:c>
      <x:c r="E22" s="10" t="str">
        <x:v>reproduced</x:v>
      </x:c>
      <x:c r="F22" s="10" t="str">
        <x:v>Inventory deployed database policies and grants</x:v>
      </x:c>
      <x:c r="G22" s="10" t="str">
        <x:v>Automated export lists tables, RLS enabled state, policies, functions, triggers, grants, and migration versions; drift from repository is reviewed and stored securely.</x:v>
      </x:c>
      <x:c r="H22" s="10" t="str">
        <x:v>ADM-WF-001; ADM-WF-002</x:v>
      </x:c>
      <x:c r="I22" s="10" t="str">
        <x:v>BLK-SEC-001-001</x:v>
      </x:c>
      <x:c r="J22" s="10" t="str">
        <x:v>Historical feature-spec progress ledger: done — Historical completion claim retained without automatic status credit.; Strict revalidation progress ledger: blocked — Canonical SELECT-only database exporter, deterministic drift comparator, secure evidence rules, and manual runbook are complete; isolated-branch and Tourify Demo exports/advisors/sign-off are required</x:v>
      </x:c>
    </x:row>
    <x:row r="23" ht="42" customHeight="1">
      <x:c r="A23" s="10" t="str">
        <x:v>SEC-002</x:v>
      </x:c>
      <x:c r="B23" s="11" t="n">
        <x:v>22</x:v>
      </x:c>
      <x:c r="C23" s="11" t="n">
        <x:v>0</x:v>
      </x:c>
      <x:c r="D23" s="10" t="str">
        <x:v>01</x:v>
      </x:c>
      <x:c r="E23" s="10" t="str">
        <x:v>ready_for_independent_verification</x:v>
      </x:c>
      <x:c r="F23" s="10" t="str">
        <x:v>Approve acting-context ADR</x:v>
      </x:c>
      <x:c r="G23" s="10" t="str">
        <x:v>Session format, switch behavior, multi-tab behavior, expiry, support access, and `409` contract are documented with threat model.</x:v>
      </x:c>
      <x:c r="H23" s="10" t="str">
        <x:v>ADM-WF-001; ADM-WF-002</x:v>
      </x:c>
      <x:c r="I23" s="10" t="str"/>
      <x:c r="J23" s="10" t="str">
        <x:v>Historical feature-spec progress ledger: done — Historical completion claim retained without automatic status credit.; Strict revalidation progress ledger: done — ADR now fixes the signed envelope/server-session format, epoch/CAS switching, stale-tab contract, full cache key, expiry/revocation, support grants, typed responses, and threat model; current header-first code remains explicitly assigned to SEC-101</x:v>
      </x:c>
    </x:row>
    <x:row r="24" ht="42" customHeight="1">
      <x:c r="A24" s="10" t="str">
        <x:v>SEC-003</x:v>
      </x:c>
      <x:c r="B24" s="11" t="n">
        <x:v>23</x:v>
      </x:c>
      <x:c r="C24" s="11" t="n">
        <x:v>0</x:v>
      </x:c>
      <x:c r="D24" s="10" t="str">
        <x:v>01</x:v>
      </x:c>
      <x:c r="E24" s="10" t="str">
        <x:v>reproduced</x:v>
      </x:c>
      <x:c r="F24" s="10" t="str">
        <x:v>Approve capability matrix</x:v>
      </x:c>
      <x:c r="G24" s="10" t="str">
        <x:v>Every Admin navigation item and API command maps to one or more capabilities and default roles; product/security sign off.</x:v>
      </x:c>
      <x:c r="H24" s="10" t="str">
        <x:v>ADM-WF-001; ADM-WF-002</x:v>
      </x:c>
      <x:c r="I24" s="10" t="str">
        <x:v>BLK-SEC-003-001</x:v>
      </x:c>
      <x:c r="J24" s="10" t="str">
        <x:v>Historical feature-spec progress ledger: done — Historical completion claim retained without automatic status credit.; Strict revalidation progress ledger: blocked — Every canonical sidebar leaf and registered API method now resolves to catalog capabilities/default roles with fail-closed unknown navigation and high-risk overlays; generated review artifact still requires named product/security sign-off</x:v>
      </x:c>
    </x:row>
    <x:row r="25" ht="42" customHeight="1">
      <x:c r="A25" s="10" t="str">
        <x:v>SEC-004</x:v>
      </x:c>
      <x:c r="B25" s="11" t="n">
        <x:v>24</x:v>
      </x:c>
      <x:c r="C25" s="11" t="n">
        <x:v>0</x:v>
      </x:c>
      <x:c r="D25" s="10" t="str">
        <x:v>01</x:v>
      </x:c>
      <x:c r="E25" s="10" t="str">
        <x:v>reproduced</x:v>
      </x:c>
      <x:c r="F25" s="10" t="str">
        <x:v>Create two-org security fixture</x:v>
      </x:c>
      <x:c r="G25" s="10" t="str">
        <x:v>Fixture includes one multi-org user, distinct owners, managers, viewers, workers, and parent/child records in all audited domains.</x:v>
      </x:c>
      <x:c r="H25" s="10" t="str">
        <x:v>ADM-WF-001; ADM-WF-002</x:v>
      </x:c>
      <x:c r="I25" s="10" t="str">
        <x:v>BLK-SEC-004-001</x:v>
      </x:c>
      <x:c r="J25" s="10" t="str">
        <x:v>Historical feature-spec progress ledger: done — Historical completion claim retained without automatic status credit.; Strict revalidation progress ledger: blocked — Deterministic valid UUIDs, symmetric roles, explicit multi-org memberships, and distinct parent/child identities now cover all 11 audited domains; canonical contract persistence and isolated DB seed/RLS execution are still absent</x:v>
      </x:c>
    </x:row>
    <x:row r="26" ht="42" customHeight="1">
      <x:c r="A26" s="10" t="str">
        <x:v>SEC-005</x:v>
      </x:c>
      <x:c r="B26" s="11" t="n">
        <x:v>25</x:v>
      </x:c>
      <x:c r="C26" s="11" t="n">
        <x:v>0</x:v>
      </x:c>
      <x:c r="D26" s="10" t="str">
        <x:v>01</x:v>
      </x:c>
      <x:c r="E26" s="10" t="str">
        <x:v>ready_for_independent_verification</x:v>
      </x:c>
      <x:c r="F26" s="10" t="str">
        <x:v>Establish migration safety process</x:v>
      </x:c>
      <x:c r="G26" s="10" t="str">
        <x:v>Dry run, row counts, unresolved bucket, rollback/forward-fix, lock budget, and verification-query template are checked into engineering documentation.</x:v>
      </x:c>
      <x:c r="H26" s="10" t="str">
        <x:v>ADM-WF-001; ADM-WF-002</x:v>
      </x:c>
      <x:c r="I26" s="10" t="str"/>
      <x:c r="J26" s="10" t="str">
        <x:v>Historical feature-spec progress ledger: done — Historical completion claim retained without automatic status credit.; Strict revalidation progress ledger: done — Process/template now include reusable row/orphan/quarantine/constraint/RLS/grant/history/advisor checks; scanner covers tracked/staged/untracked/base SQL and unsafe DDL/DML/constraints; hosted workflows require base evidence, history list, and dry-run before push</x:v>
      </x:c>
    </x:row>
    <x:row r="27" ht="42" customHeight="1">
      <x:c r="A27" s="10" t="str">
        <x:v>REL-001</x:v>
      </x:c>
      <x:c r="B27" s="11" t="n">
        <x:v>26</x:v>
      </x:c>
      <x:c r="C27" s="11" t="n">
        <x:v>0</x:v>
      </x:c>
      <x:c r="D27" s="10" t="str">
        <x:v>14</x:v>
      </x:c>
      <x:c r="E27" s="10" t="str">
        <x:v>ready_for_independent_verification</x:v>
      </x:c>
      <x:c r="F27" s="10" t="str">
        <x:v>Pin and enforce runtime/toolchain</x:v>
      </x:c>
      <x:c r="G27" s="10" t="str">
        <x:v>Node 20.x exact strategy and package manager/lockfile are enforced locally/CI; supported install succeeds without `--legacy-peer-deps`.</x:v>
      </x:c>
      <x:c r="H27" s="10" t="str">
        <x:v>ADM-WF-017</x:v>
      </x:c>
      <x:c r="I27" s="10" t="str"/>
      <x:c r="J27" s="10" t="str">
        <x:v>Historical feature-spec progress ledger: done — Historical completion claim retained without automatic status credit.; Strict revalidation progress ledger: done — Node 20.x, npm declaration, lockfile v3, engine strictness, no legacy-peer bypass, preinstall/main-CI enforcement, and deterministic toolchain tests are in place</x:v>
      </x:c>
    </x:row>
    <x:row r="28" ht="42" customHeight="1">
      <x:c r="A28" s="10" t="str">
        <x:v>REL-002</x:v>
      </x:c>
      <x:c r="B28" s="11" t="n">
        <x:v>27</x:v>
      </x:c>
      <x:c r="C28" s="11" t="n">
        <x:v>0</x:v>
      </x:c>
      <x:c r="D28" s="10" t="str">
        <x:v>14</x:v>
      </x:c>
      <x:c r="E28" s="10" t="str">
        <x:v>ready_for_independent_verification</x:v>
      </x:c>
      <x:c r="F28" s="10" t="str">
        <x:v>Resolve dependency peer conflict</x:v>
      </x:c>
      <x:c r="G28" s="10" t="str">
        <x:v>@base-ui/react`, `date-fns`, and `react-day-picker` versions have a compatible supported set; clean lockfile install is reproducible.</x:v>
      </x:c>
      <x:c r="H28" s="10" t="str">
        <x:v>ADM-WF-017</x:v>
      </x:c>
      <x:c r="I28" s="10" t="str"/>
      <x:c r="J28" s="10" t="str">
        <x:v>Historical feature-spec progress ledger: done — date-fns@4.4 + overrides; npm ls clean; Strict revalidation progress ledger: done — DayPicker upgraded to compatible v9, obsolete peer overrides and Vercel legacy flag removed, three calendar wrappers migrated, clean disposable npm ci and peer graph pass, CI peer gate added</x:v>
      </x:c>
    </x:row>
    <x:row r="29" ht="42" customHeight="1">
      <x:c r="A29" s="10" t="str">
        <x:v>REL-003</x:v>
      </x:c>
      <x:c r="B29" s="11" t="n">
        <x:v>28</x:v>
      </x:c>
      <x:c r="C29" s="11" t="n">
        <x:v>0</x:v>
      </x:c>
      <x:c r="D29" s="10" t="str">
        <x:v>14</x:v>
      </x:c>
      <x:c r="E29" s="10" t="str">
        <x:v>reproduced</x:v>
      </x:c>
      <x:c r="F29" s="10" t="str">
        <x:v>Reproduce/fix production build cleanup failure</x:v>
      </x:c>
      <x:c r="G29" s="10" t="str">
        <x:v>Build runs in CI/native supported filesystem from clean checkout and exits 0; if environment-specific, root cause/workaround is documented and guarded by a regression check.</x:v>
      </x:c>
      <x:c r="H29" s="10" t="str">
        <x:v>ADM-WF-017</x:v>
      </x:c>
      <x:c r="I29" s="10" t="str">
        <x:v>BLK-REL-003-001</x:v>
      </x:c>
      <x:c r="J29" s="10" t="str">
        <x:v>Historical feature-spec progress ledger: done — `npm run build` exit 0; fixed TS blockers (not ENOTEMPTY); Strict revalidation progress ledger: blocked — Historical ENOTEMPTY does not reproduce and clean-CI build is the regression guard, but current integrated Admin/API/service TypeScript errors prevent an exit-0 production build</x:v>
      </x:c>
    </x:row>
    <x:row r="30" ht="42" customHeight="1">
      <x:c r="A30" s="10" t="str">
        <x:v>REL-004</x:v>
      </x:c>
      <x:c r="B30" s="11" t="n">
        <x:v>29</x:v>
      </x:c>
      <x:c r="C30" s="11" t="n">
        <x:v>0</x:v>
      </x:c>
      <x:c r="D30" s="10" t="str">
        <x:v>14</x:v>
      </x:c>
      <x:c r="E30" s="10" t="str">
        <x:v>ready_for_independent_verification</x:v>
      </x:c>
      <x:c r="F30" s="10" t="str">
        <x:v>Make production env validation intentional</x:v>
      </x:c>
      <x:c r="G30" s="10" t="str">
        <x:v>Required/optional/build-time/runtime secrets/URLs are documented; missing required production variables fail once with clear message before expensive build, not repeated warnings.</x:v>
      </x:c>
      <x:c r="H30" s="10" t="str">
        <x:v>ADM-WF-017</x:v>
      </x:c>
      <x:c r="I30" s="10" t="str"/>
      <x:c r="J30" s="10" t="str">
        <x:v>Historical feature-spec progress ledger: done — Historical completion claim retained without automatic status credit.; Strict revalidation progress ledger: done — One canonical contract classifies production build/runtime/conditional/optional values; build fails once before Next compilation, runtime asserts once per process, partial adapters fail clearly, and focused tests/lint pass</x:v>
      </x:c>
    </x:row>
    <x:row r="31" ht="42" customHeight="1">
      <x:c r="A31" s="10" t="str">
        <x:v>REL-005</x:v>
      </x:c>
      <x:c r="B31" s="11" t="n">
        <x:v>30</x:v>
      </x:c>
      <x:c r="C31" s="11" t="n">
        <x:v>0</x:v>
      </x:c>
      <x:c r="D31" s="10" t="str">
        <x:v>14</x:v>
      </x:c>
      <x:c r="E31" s="10" t="str">
        <x:v>ready_for_independent_verification</x:v>
      </x:c>
      <x:c r="F31" s="10" t="str">
        <x:v>Resolve readiness test/product contract</x:v>
      </x:c>
      <x:c r="G31" s="10" t="str">
        <x:v>Product decides venue-profile/staff blockers; implementation/UI/tests/fixtures/migration use one rule contract and all targeted tests pass.</x:v>
      </x:c>
      <x:c r="H31" s="10" t="str">
        <x:v>ADM-WF-017</x:v>
      </x:c>
      <x:c r="I31" s="10" t="str"/>
      <x:c r="J31" s="10" t="str">
        <x:v>Historical feature-spec progress ledger: done — Historical completion claim retained without automatic status credit.; Strict revalidation progress ledger: done — Venue identity stays a blocker while venue-profile/staffing stay warnings; builder, persisted evidence, UI, publish command, overrides, fixtures, and tests now use the shared rule catalog; 33 focused tests and touched lint pass</x:v>
      </x:c>
    </x:row>
    <x:row r="32" ht="42" customHeight="1">
      <x:c r="A32" s="10" t="str">
        <x:v>REL-006</x:v>
      </x:c>
      <x:c r="B32" s="11" t="n">
        <x:v>31</x:v>
      </x:c>
      <x:c r="C32" s="11" t="n">
        <x:v>0</x:v>
      </x:c>
      <x:c r="D32" s="10" t="str">
        <x:v>14</x:v>
      </x:c>
      <x:c r="E32" s="10" t="str">
        <x:v>reproduced</x:v>
      </x:c>
      <x:c r="F32" s="10" t="str">
        <x:v>Create test-data factory</x:v>
      </x:c>
      <x:c r="G32" s="10" t="str">
        <x:v>Deterministic two-org, multi-role, multi-stop tour includes every sensitive parent/child domain and realistic volume/edge dates/currencies.</x:v>
      </x:c>
      <x:c r="H32" s="10" t="str">
        <x:v>ADM-WF-017</x:v>
      </x:c>
      <x:c r="I32" s="10" t="str">
        <x:v>BLK-REL-006-001</x:v>
      </x:c>
      <x:c r="J32" s="10" t="str">
        <x:v>Historical feature-spec progress ledger: done — Historical completion claim retained without automatic status credit.; Strict revalidation progress ledger: blocked — Deterministic minimal/realistic/edge/cross-tenant scenarios now cover 13 parent/child domains, realistic volumes, DST, currencies, protected projections, stale/replay/access edges, and forbid Demo/prod targets; canonical contract persistence plus isolated seed/RLS execution remain required</x:v>
      </x:c>
    </x:row>
    <x:row r="33" ht="42" customHeight="1">
      <x:c r="A33" s="10" t="str">
        <x:v>REL-007</x:v>
      </x:c>
      <x:c r="B33" s="11" t="n">
        <x:v>32</x:v>
      </x:c>
      <x:c r="C33" s="11" t="n">
        <x:v>0</x:v>
      </x:c>
      <x:c r="D33" s="10" t="str">
        <x:v>14</x:v>
      </x:c>
      <x:c r="E33" s="10" t="str">
        <x:v>ready_for_independent_verification</x:v>
      </x:c>
      <x:c r="F33" s="10" t="str">
        <x:v>Baseline lint and warning budget</x:v>
      </x:c>
      <x:c r="G33" s="10" t="str">
        <x:v>Move to supported ESLint CLI/config; snapshot existing warnings by rule/path; new warnings fail CI and prioritized Admin backlog trends to zero.</x:v>
      </x:c>
      <x:c r="H33" s="10" t="str">
        <x:v>ADM-WF-017</x:v>
      </x:c>
      <x:c r="I33" s="10" t="str"/>
      <x:c r="J33" s="10" t="str">
        <x:v>Historical feature-spec progress ledger: done — Historical completion claim retained without automatic status credit.; Strict revalidation progress ledger: done — Direct ESLint CLI replaces next lint; deterministic Admin/CI path+rule baseline records 101 warnings, reductions are automatic, growth/errors/invalid or expired exceptions fail CI, and comparator tests/check pass</x:v>
      </x:c>
    </x:row>
    <x:row r="34" ht="42" customHeight="1">
      <x:c r="A34" s="10" t="str">
        <x:v>REL-008</x:v>
      </x:c>
      <x:c r="B34" s="11" t="n">
        <x:v>33</x:v>
      </x:c>
      <x:c r="C34" s="11" t="n">
        <x:v>0</x:v>
      </x:c>
      <x:c r="D34" s="10" t="str">
        <x:v>14</x:v>
      </x:c>
      <x:c r="E34" s="10" t="str">
        <x:v>reproduced</x:v>
      </x:c>
      <x:c r="F34" s="10" t="str">
        <x:v>Establish feature-flag policy</x:v>
      </x:c>
      <x:c r="G34" s="10" t="str">
        <x:v>Organization-scoped flags have owner, purpose, environments, default, audit, metrics, rollback, expiry/removal issue and safe unavailable state.</x:v>
      </x:c>
      <x:c r="H34" s="10" t="str">
        <x:v>ADM-WF-017</x:v>
      </x:c>
      <x:c r="I34" s="10" t="str">
        <x:v>BLK-REL-008-001</x:v>
      </x:c>
      <x:c r="J34" s="10" t="str">
        <x:v>Historical feature-spec progress ledger: done — Historical completion claim retained without automatic status credit.; Strict revalidation progress ledger: blocked — Governed registry/resolver, acting-context capability APIs, immutable reasoned assignment model, safe unavailable UI, tests, and expand-only manual SQL are complete; isolated branch migration/RLS execution and hosted promotion evidence remain required</x:v>
      </x:c>
    </x:row>
    <x:row r="35" ht="42" customHeight="1">
      <x:c r="A35" s="10" t="str">
        <x:v>REP-001</x:v>
      </x:c>
      <x:c r="B35" s="11" t="n">
        <x:v>34</x:v>
      </x:c>
      <x:c r="C35" s="11" t="n">
        <x:v>0</x:v>
      </x:c>
      <x:c r="D35" s="10" t="str">
        <x:v>13</x:v>
      </x:c>
      <x:c r="E35" s="10" t="str">
        <x:v>ready_for_independent_verification</x:v>
      </x:c>
      <x:c r="F35" s="10" t="str">
        <x:v>Create KPI catalog/template</x:v>
      </x:c>
      <x:c r="G35" s="10" t="str">
        <x:v>Product/data owners document definition/source/freshness/access/test for every existing and planned Admin metric; duplicate/conflicting metrics are flagged.</x:v>
      </x:c>
      <x:c r="H35" s="10" t="str">
        <x:v>ADM-WF-017</x:v>
      </x:c>
      <x:c r="I35" s="10" t="str"/>
      <x:c r="J35" s="10" t="str">
        <x:v>Historical feature-spec progress ledger: done — Historical completion claim retained without automatic status credit.; Strict revalidation progress ledger: done — Typed catalog defines 24+ governance fields, eight canonical seed KPIs, and explicit legacy-conflict coverage for all 60 inventoried reporting consumers; duplicate candidates and unresolved source/access/currency/time-zone/failure/org-scope semantics are flagged and tests pass</x:v>
      </x:c>
    </x:row>
    <x:row r="36" ht="42" customHeight="1">
      <x:c r="A36" s="10" t="str">
        <x:v>REL-101</x:v>
      </x:c>
      <x:c r="B36" s="11" t="n">
        <x:v>35</x:v>
      </x:c>
      <x:c r="C36" s="11" t="n">
        <x:v>1</x:v>
      </x:c>
      <x:c r="D36" s="10" t="str">
        <x:v>14</x:v>
      </x:c>
      <x:c r="E36" s="10" t="str">
        <x:v>reproduced</x:v>
      </x:c>
      <x:c r="F36" s="10" t="str">
        <x:v>Add database/RLS CI environment</x:v>
      </x:c>
      <x:c r="G36" s="10" t="str">
        <x:v>Migrations apply from empty and supported prior snapshot; direct-role RLS tests run for all personas and parent/child records.</x:v>
      </x:c>
      <x:c r="H36" s="10" t="str">
        <x:v>ADM-WF-017</x:v>
      </x:c>
      <x:c r="I36" s="10" t="str">
        <x:v>BLK-REL-101-001</x:v>
      </x:c>
      <x:c r="J36" s="10" t="str">
        <x:v>Historical feature-spec progress ledger: done — Ephemeral CI + persona matrix + test:rls-matrix; Strict revalidation progress ledger: blocked — Reset-free ephemeral migration workflow and real direct-client core RLS suite replace the placeholder; structural tests/YAML pass, but all-domain parent/child execution, prior-snapshot migration, and hosted CI evidence await contract persistence and an isolated runner</x:v>
      </x:c>
    </x:row>
    <x:row r="37" ht="42" customHeight="1">
      <x:c r="A37" s="10" t="str">
        <x:v>REL-102</x:v>
      </x:c>
      <x:c r="B37" s="11" t="n">
        <x:v>36</x:v>
      </x:c>
      <x:c r="C37" s="11" t="n">
        <x:v>1</x:v>
      </x:c>
      <x:c r="D37" s="10" t="str">
        <x:v>14</x:v>
      </x:c>
      <x:c r="E37" s="10" t="str">
        <x:v>reproduced</x:v>
      </x:c>
      <x:c r="F37" s="10" t="str">
        <x:v>Add migration validation template/tooling</x:v>
      </x:c>
      <x:c r="G37" s="10" t="str">
        <x:v>Preflight counts, locks/timing, batching, resume, unresolved rows, constraints/indexes, rollback/forward-fix and postflight queries are required.</x:v>
      </x:c>
      <x:c r="H37" s="10" t="str">
        <x:v>ADM-WF-017</x:v>
      </x:c>
      <x:c r="I37" s="10" t="str">
        <x:v>BLK-REL-102-001</x:v>
      </x:c>
      <x:c r="J37" s="10" t="str">
        <x:v>Historical feature-spec progress ledger: done — Template + check:migration-validation in CI; Strict revalidation progress ledger: blocked — Versioned per-migration manifests now machine-require owner/reviewer, representative snapshot, preflight counts, lock/timeout/batch/resume/idempotency, quarantine, constraints/indexes, recovery, postflight, and governed exceptions; staging/production gates reject insufficient evidence, but representative isolated timing/resume/advisor artifacts are intentionally pending</x:v>
      </x:c>
    </x:row>
    <x:row r="38" ht="42" customHeight="1">
      <x:c r="A38" s="10" t="str">
        <x:v>REL-103</x:v>
      </x:c>
      <x:c r="B38" s="11" t="n">
        <x:v>37</x:v>
      </x:c>
      <x:c r="C38" s="11" t="n">
        <x:v>1</x:v>
      </x:c>
      <x:c r="D38" s="10" t="str">
        <x:v>14</x:v>
      </x:c>
      <x:c r="E38" s="10" t="str">
        <x:v>reproduced</x:v>
      </x:c>
      <x:c r="F38" s="10" t="str">
        <x:v>Add API authorization contract harness</x:v>
      </x:c>
      <x:c r="G38" s="10" t="str">
        <x:v>Endpoint inventory declares context/capability/schema/idempotency/audit; CI fails for new unclassified Admin routes.</x:v>
      </x:c>
      <x:c r="H38" s="10" t="str">
        <x:v>ADM-WF-017</x:v>
      </x:c>
      <x:c r="I38" s="10" t="str">
        <x:v>BLK-REL-103-001</x:v>
      </x:c>
      <x:c r="J38" s="10" t="str">
        <x:v>Historical feature-spec progress ledger: done — api-route-registry + check:admin-route-registry; Strict revalidation progress ledger: blocked — TypeScript-AST CI now enforces exact 232 route and route-method parity, rejects duplicates/stale entries, materializes acting context/capability mode/schema IDs/idempotency/audit/owner per method, and prevents growth beyond 122 legacy routes; those legacy handlers still require shared runtime schema/auth/idempotency/audit enforcement and contract tests</x:v>
      </x:c>
    </x:row>
    <x:row r="39" ht="42" customHeight="1">
      <x:c r="A39" s="10" t="str">
        <x:v>REL-104</x:v>
      </x:c>
      <x:c r="B39" s="11" t="n">
        <x:v>38</x:v>
      </x:c>
      <x:c r="C39" s="11" t="n">
        <x:v>1</x:v>
      </x:c>
      <x:c r="D39" s="10" t="str">
        <x:v>14</x:v>
      </x:c>
      <x:c r="E39" s="10" t="str">
        <x:v>reproduced</x:v>
      </x:c>
      <x:c r="F39" s="10" t="str">
        <x:v>Add secret/dependency/static scans</x:v>
      </x:c>
      <x:c r="G39" s="10" t="str">
        <x:v>Prevent committed secrets and known critical vulnerabilities; exceptions have owner/rationale/expiry and production exploitability review.</x:v>
      </x:c>
      <x:c r="H39" s="10" t="str">
        <x:v>ADM-WF-017</x:v>
      </x:c>
      <x:c r="I39" s="10" t="str">
        <x:v>BLK-REL-104-001</x:v>
      </x:c>
      <x:c r="J39" s="10" t="str">
        <x:v>Historical feature-spec progress ledger: done — npm audit critical in CI + scan policy doc; Strict revalidation progress ledger: blocked — Dedicated workflow now runs full-history Gitleaks, CodeQL security-extended, critical PR dependency review, CycloneDX SBOM retention, and machine-governed expiring exploitability exceptions; successful hosted runs, GitHub security settings, required-check enforcement, and retained artifacts remain external evidence blockers</x:v>
      </x:c>
    </x:row>
    <x:row r="40" ht="42" customHeight="1">
      <x:c r="A40" s="10" t="str">
        <x:v>SEC-101</x:v>
      </x:c>
      <x:c r="B40" s="11" t="n">
        <x:v>39</x:v>
      </x:c>
      <x:c r="C40" s="11" t="n">
        <x:v>1</x:v>
      </x:c>
      <x:c r="D40" s="10" t="str">
        <x:v>01</x:v>
      </x:c>
      <x:c r="E40" s="10" t="str">
        <x:v>reproduced</x:v>
      </x:c>
      <x:c r="F40" s="10" t="str">
        <x:v>Implement signed acting context</x:v>
      </x:c>
      <x:c r="G40" s="10" t="str">
        <x:v>Server resolves the same org as the visible account switcher; tampered/missing values fail safely; switching invalidates org-scoped caches.</x:v>
      </x:c>
      <x:c r="H40" s="10" t="str">
        <x:v>ADM-WF-001; ADM-WF-002</x:v>
      </x:c>
      <x:c r="I40" s="10" t="str">
        <x:v>BLK-SEC-101-001</x:v>
      </x:c>
      <x:c r="J40" s="10" t="str">
        <x:v>Historical feature-spec progress ledger: done — correlationId + cache key + acting headers; Strict revalidation progress ledger: blocked — Expand-only manual SQL adds per-auth-session profile/org/epoch/expiry/revocation/version state, restricted own-session CAS/resolve/revoke RPCs, and immutable audit; HMAC envelope/session binding/full cache-key primitives and 7 tests pass, but isolated SQL evidence, signing-key configuration, server route cutover, and client switch/stale-tab integration remain</x:v>
      </x:c>
    </x:row>
    <x:row r="41" ht="42" customHeight="1">
      <x:c r="A41" s="10" t="str">
        <x:v>SEC-102</x:v>
      </x:c>
      <x:c r="B41" s="11" t="n">
        <x:v>40</x:v>
      </x:c>
      <x:c r="C41" s="11" t="n">
        <x:v>1</x:v>
      </x:c>
      <x:c r="D41" s="10" t="str">
        <x:v>01</x:v>
      </x:c>
      <x:c r="E41" s="10" t="str">
        <x:v>ready_for_independent_verification</x:v>
      </x:c>
      <x:c r="F41" s="10" t="str">
        <x:v>Implement capability service</x:v>
      </x:c>
      <x:c r="G41" s="10" t="str">
        <x:v>Effective capabilities combine system role, custom role, creator/master invariant, membership state, and scoped grants; unit tests cover precedence and expiry.</x:v>
      </x:c>
      <x:c r="H41" s="10" t="str">
        <x:v>ADM-WF-001; ADM-WF-002</x:v>
      </x:c>
      <x:c r="I41" s="10" t="str"/>
      <x:c r="J41" s="10" t="str">
        <x:v>Historical feature-spec progress ledger: done — resolveEffectiveAdminCapabilities + tests; Strict revalidation progress ledger: done — Capability resolver now combines catalog-filtered system/custom roles and active creator/master invariant, fails closed for every non-active/invalid/expired membership, applies only non-revoked/non-expired exact-scope grants, and passes 35 focused authorization/lifecycle tests</x:v>
      </x:c>
    </x:row>
    <x:row r="42" ht="42" customHeight="1">
      <x:c r="A42" s="10" t="str">
        <x:v>SEC-103</x:v>
      </x:c>
      <x:c r="B42" s="11" t="n">
        <x:v>41</x:v>
      </x:c>
      <x:c r="C42" s="11" t="n">
        <x:v>1</x:v>
      </x:c>
      <x:c r="D42" s="10" t="str">
        <x:v>01</x:v>
      </x:c>
      <x:c r="E42" s="10" t="str">
        <x:v>ready_for_independent_verification</x:v>
      </x:c>
      <x:c r="F42" s="10" t="str">
        <x:v>Create route/command wrappers</x:v>
      </x:c>
      <x:c r="G42" s="10" t="str">
        <x:v>New Admin endpoints cannot execute without context, schema validation, required capability, target assertion, correlation ID, and structured error mapping.</x:v>
      </x:c>
      <x:c r="H42" s="10" t="str">
        <x:v>ADM-WF-001; ADM-WF-002</x:v>
      </x:c>
      <x:c r="I42" s="10" t="str"/>
      <x:c r="J42" s="10" t="str">
        <x:v>Historical feature-spec progress ledger: done — executeOrgCommand + withOrgCommand + tours DELETE; Strict revalidation progress ledger: done — New-command wrapper requires auth, acting context, capability, schema, explicit organization/entity target, all-ID bulk ownership checks, correlation, declared idempotency, fail-closed audit intent, and structured errors; 20 focused tests and touched lint pass</x:v>
      </x:c>
    </x:row>
    <x:row r="43" ht="42" customHeight="1">
      <x:c r="A43" s="10" t="str">
        <x:v>SEC-104</x:v>
      </x:c>
      <x:c r="B43" s="11" t="n">
        <x:v>42</x:v>
      </x:c>
      <x:c r="C43" s="11" t="n">
        <x:v>1</x:v>
      </x:c>
      <x:c r="D43" s="10" t="str">
        <x:v>01</x:v>
      </x:c>
      <x:c r="E43" s="10" t="str">
        <x:v>in_progress</x:v>
      </x:c>
      <x:c r="F43" s="10" t="str">
        <x:v>Migrate existing Admin endpoints</x:v>
      </x:c>
      <x:c r="G43" s="10" t="str">
        <x:v>Inventory reaches 100% classification; high-risk finance/ticketing/logistics and all tour mutations migrate first; CI rejects unclassified new endpoints.</x:v>
      </x:c>
      <x:c r="H43" s="10" t="str">
        <x:v>ADM-WF-001; ADM-WF-002</x:v>
      </x:c>
      <x:c r="I43" s="10" t="str"/>
      <x:c r="J43" s="10" t="str">
        <x:v>Historical feature-spec progress ledger: done — 185/185 classified; logistics+tour delete migrated; Strict revalidation progress ledger: in_progress — Existing Admin endpoint migration revalidation</x:v>
      </x:c>
    </x:row>
    <x:row r="44" ht="42" customHeight="1">
      <x:c r="A44" s="10" t="str">
        <x:v>SEC-105</x:v>
      </x:c>
      <x:c r="B44" s="11" t="n">
        <x:v>43</x:v>
      </x:c>
      <x:c r="C44" s="11" t="n">
        <x:v>1</x:v>
      </x:c>
      <x:c r="D44" s="10" t="str">
        <x:v>01</x:v>
      </x:c>
      <x:c r="E44" s="10" t="str">
        <x:v>observed</x:v>
      </x:c>
      <x:c r="F44" s="10" t="str">
        <x:v>Add/backfill tenant keys</x:v>
      </x:c>
      <x:c r="G44" s="10" t="str">
        <x:v>Finance, logistics, staffing, site-map, ticketing, and child tables receive validated `org_id`; unresolvable rows move to a quarantine table/view and are inaccessible to normal users.</x:v>
      </x:c>
      <x:c r="H44" s="10" t="str">
        <x:v>ADM-WF-001; ADM-WF-002</x:v>
      </x:c>
      <x:c r="I44" s="10" t="str"/>
      <x:c r="J44" s="10" t="str">
        <x:v>Historical feature-spec progress ledger: done — Tenant keys + quarantine + restrictive null-org deny</x:v>
      </x:c>
    </x:row>
    <x:row r="45" ht="42" customHeight="1">
      <x:c r="A45" s="10" t="str">
        <x:v>SEC-106</x:v>
      </x:c>
      <x:c r="B45" s="11" t="n">
        <x:v>44</x:v>
      </x:c>
      <x:c r="C45" s="11" t="n">
        <x:v>1</x:v>
      </x:c>
      <x:c r="D45" s="10" t="str">
        <x:v>01</x:v>
      </x:c>
      <x:c r="E45" s="10" t="str">
        <x:v>observed</x:v>
      </x:c>
      <x:c r="F45" s="10" t="str">
        <x:v>Replace finance RLS</x:v>
      </x:c>
      <x:c r="G45" s="10" t="str">
        <x:v>Blanket authenticated policies are dropped; select/insert/update/delete require effective organization relationship and suitable capability/service function.</x:v>
      </x:c>
      <x:c r="H45" s="10" t="str">
        <x:v>ADM-WF-001; ADM-WF-002</x:v>
      </x:c>
      <x:c r="I45" s="10" t="str"/>
      <x:c r="J45" s="10" t="str">
        <x:v>Historical feature-spec progress ledger: done — can_finance + sec106_* policies; audit append-only</x:v>
      </x:c>
    </x:row>
    <x:row r="46" ht="42" customHeight="1">
      <x:c r="A46" s="10" t="str">
        <x:v>SEC-107</x:v>
      </x:c>
      <x:c r="B46" s="11" t="n">
        <x:v>45</x:v>
      </x:c>
      <x:c r="C46" s="11" t="n">
        <x:v>1</x:v>
      </x:c>
      <x:c r="D46" s="10" t="str">
        <x:v>01</x:v>
      </x:c>
      <x:c r="E46" s="10" t="str">
        <x:v>observed</x:v>
      </x:c>
      <x:c r="F46" s="10" t="str">
        <x:v>Replace logistics RLS</x:v>
      </x:c>
      <x:c r="G46" s="10" t="str">
        <x:v>Travel, flight, passenger, lodging, guest, transport, rental, and child policies prevent parent-ID and child-ID bypasses.</x:v>
      </x:c>
      <x:c r="H46" s="10" t="str">
        <x:v>ADM-WF-001; ADM-WF-002</x:v>
      </x:c>
      <x:c r="I46" s="10" t="str"/>
      <x:c r="J46" s="10" t="str">
        <x:v>Historical feature-spec progress ledger: done — can_logistics + parent/child org-scoped policies</x:v>
      </x:c>
    </x:row>
    <x:row r="47" ht="42" customHeight="1">
      <x:c r="A47" s="10" t="str">
        <x:v>SEC-108</x:v>
      </x:c>
      <x:c r="B47" s="11" t="n">
        <x:v>46</x:v>
      </x:c>
      <x:c r="C47" s="11" t="n">
        <x:v>1</x:v>
      </x:c>
      <x:c r="D47" s="10" t="str">
        <x:v>01</x:v>
      </x:c>
      <x:c r="E47" s="10" t="str">
        <x:v>observed</x:v>
      </x:c>
      <x:c r="F47" s="10" t="str">
        <x:v>Replace legacy ticketing RLS</x:v>
      </x:c>
      <x:c r="G47" s="10" t="str">
        <x:v>Permissive policies are explicitly dropped, not shadowed; old tables become migration-only/read-only until retired.</x:v>
      </x:c>
      <x:c r="H47" s="10" t="str">
        <x:v>ADM-WF-001; ADM-WF-002</x:v>
      </x:c>
      <x:c r="I47" s="10" t="str"/>
      <x:c r="J47" s="10" t="str">
        <x:v>Historical feature-spec progress ledger: done — Explicit DROP blankets; legacy ticket tables read-only</x:v>
      </x:c>
    </x:row>
    <x:row r="48" ht="42" customHeight="1">
      <x:c r="A48" s="10" t="str">
        <x:v>SEC-109</x:v>
      </x:c>
      <x:c r="B48" s="11" t="n">
        <x:v>47</x:v>
      </x:c>
      <x:c r="C48" s="11" t="n">
        <x:v>1</x:v>
      </x:c>
      <x:c r="D48" s="10" t="str">
        <x:v>01</x:v>
      </x:c>
      <x:c r="E48" s="10" t="str">
        <x:v>observed</x:v>
      </x:c>
      <x:c r="F48" s="10" t="str">
        <x:v>Constrain service-role use</x:v>
      </x:c>
      <x:c r="G48" s="10" t="str">
        <x:v>Service role exists only in named internal modules/jobs; every call supplies verified org and reason; client-supplied org/target values are revalidated.</x:v>
      </x:c>
      <x:c r="H48" s="10" t="str">
        <x:v>ADM-WF-001; ADM-WF-002</x:v>
      </x:c>
      <x:c r="I48" s="10" t="str"/>
      <x:c r="J48" s="10" t="str">
        <x:v>Historical feature-spec progress ledger: done — executeServiceRoleJob + allowlist CI; refund migrated</x:v>
      </x:c>
    </x:row>
    <x:row r="49" ht="42" customHeight="1">
      <x:c r="A49" s="10" t="str">
        <x:v>SEC-110</x:v>
      </x:c>
      <x:c r="B49" s="11" t="n">
        <x:v>48</x:v>
      </x:c>
      <x:c r="C49" s="11" t="n">
        <x:v>1</x:v>
      </x:c>
      <x:c r="D49" s="10" t="str">
        <x:v>01</x:v>
      </x:c>
      <x:c r="E49" s="10" t="str">
        <x:v>observed</x:v>
      </x:c>
      <x:c r="F49" s="10" t="str">
        <x:v>Add organization predicates to mutations</x:v>
      </x:c>
      <x:c r="G49" s="10" t="str">
        <x:v>Update/delete queries include target ID and acting `org_id`; child mutations validate the parent chain inside the same transaction.</x:v>
      </x:c>
      <x:c r="H49" s="10" t="str">
        <x:v>ADM-WF-001; ADM-WF-002</x:v>
      </x:c>
      <x:c r="I49" s="10" t="str"/>
      <x:c r="J49" s="10" t="str">
        <x:v>Historical feature-spec progress ledger: done — orgScoped* helpers + RPC; tours/transport/lodging wired</x:v>
      </x:c>
    </x:row>
    <x:row r="50" ht="42" customHeight="1">
      <x:c r="A50" s="10" t="str">
        <x:v>SEC-111</x:v>
      </x:c>
      <x:c r="B50" s="11" t="n">
        <x:v>49</x:v>
      </x:c>
      <x:c r="C50" s="11" t="n">
        <x:v>1</x:v>
      </x:c>
      <x:c r="D50" s="10" t="str">
        <x:v>01</x:v>
      </x:c>
      <x:c r="E50" s="10" t="str">
        <x:v>observed</x:v>
      </x:c>
      <x:c r="F50" s="10" t="str">
        <x:v>Implement immutable security audit</x:v>
      </x:c>
      <x:c r="G50" s="10" t="str">
        <x:v>Privileged reads/exports and every mutation write an append-only result event; audit failures follow an approved fail-closed/fail-open policy by action class.</x:v>
      </x:c>
      <x:c r="H50" s="10" t="str">
        <x:v>ADM-WF-001; ADM-WF-002</x:v>
      </x:c>
      <x:c r="I50" s="10" t="str"/>
      <x:c r="J50" s="10" t="str">
        <x:v>Historical feature-spec progress ledger: done — security_audit_events + fail policy ADR; org-command wired</x:v>
      </x:c>
    </x:row>
    <x:row r="51" ht="42" customHeight="1">
      <x:c r="A51" s="10" t="str">
        <x:v>SEC-112</x:v>
      </x:c>
      <x:c r="B51" s="11" t="n">
        <x:v>50</x:v>
      </x:c>
      <x:c r="C51" s="11" t="n">
        <x:v>1</x:v>
      </x:c>
      <x:c r="D51" s="10" t="str">
        <x:v>01</x:v>
      </x:c>
      <x:c r="E51" s="10" t="str">
        <x:v>observed</x:v>
      </x:c>
      <x:c r="F51" s="10" t="str">
        <x:v>Add authorization contract tests</x:v>
      </x:c>
      <x:c r="G51" s="10" t="str">
        <x:v>Endpoint tests cover owner, role, custom role, expired/revoked membership, wrong org, guessed ID, child ID, bulk IDs, share token, and service job.</x:v>
      </x:c>
      <x:c r="H51" s="10" t="str">
        <x:v>ADM-WF-001; ADM-WF-002</x:v>
      </x:c>
      <x:c r="I51" s="10" t="str"/>
      <x:c r="J51" s="10" t="str">
        <x:v>Historical feature-spec progress ledger: done — authorization-contract.test.ts (12 cases)</x:v>
      </x:c>
    </x:row>
    <x:row r="52" ht="42" customHeight="1">
      <x:c r="A52" s="10" t="str">
        <x:v>TOUR-101</x:v>
      </x:c>
      <x:c r="B52" s="11" t="n">
        <x:v>51</x:v>
      </x:c>
      <x:c r="C52" s="11" t="n">
        <x:v>1</x:v>
      </x:c>
      <x:c r="D52" s="10" t="str">
        <x:v>02</x:v>
      </x:c>
      <x:c r="E52" s="10" t="str">
        <x:v>observed</x:v>
      </x:c>
      <x:c r="F52" s="10" t="str">
        <x:v>Define lifecycle state machine</x:v>
      </x:c>
      <x:c r="G52" s="10" t="str">
        <x:v>States, transitions, required capabilities, blockers, side effects, cancellation/archive behavior, and invalid-transition errors are approved and tested.</x:v>
      </x:c>
      <x:c r="H52" s="10" t="str">
        <x:v>ADM-WF-005</x:v>
      </x:c>
      <x:c r="I52" s="10" t="str"/>
      <x:c r="J52" s="10" t="str">
        <x:v>Historical feature-spec progress ledger: done — evaluateTourTransition + tests; legacy status map</x:v>
      </x:c>
    </x:row>
    <x:row r="53" ht="42" customHeight="1">
      <x:c r="A53" s="10" t="str">
        <x:v>TOUR-102</x:v>
      </x:c>
      <x:c r="B53" s="11" t="n">
        <x:v>52</x:v>
      </x:c>
      <x:c r="C53" s="11" t="n">
        <x:v>1</x:v>
      </x:c>
      <x:c r="D53" s="10" t="str">
        <x:v>02</x:v>
      </x:c>
      <x:c r="E53" s="10" t="str">
        <x:v>observed</x:v>
      </x:c>
      <x:c r="F53" s="10" t="str">
        <x:v>Build canonical tour access service</x:v>
      </x:c>
      <x:c r="G53" s="10" t="str">
        <x:v>All panels resolve the same org/tour authority; collaborator and entity-grant behavior is consistent; legacy endpoints delegate to it.</x:v>
      </x:c>
      <x:c r="H53" s="10" t="str">
        <x:v>ADM-WF-005</x:v>
      </x:c>
      <x:c r="I53" s="10" t="str"/>
      <x:c r="J53" s="10" t="str">
        <x:v>Historical feature-spec progress ledger: done — Canonical tour-access.service + getTour/assertAdminTourAccess delegate</x:v>
      </x:c>
    </x:row>
    <x:row r="54" ht="42" customHeight="1">
      <x:c r="A54" s="10" t="str">
        <x:v>TOUR-103</x:v>
      </x:c>
      <x:c r="B54" s="11" t="n">
        <x:v>53</x:v>
      </x:c>
      <x:c r="C54" s="11" t="n">
        <x:v>1</x:v>
      </x:c>
      <x:c r="D54" s="10" t="str">
        <x:v>02</x:v>
      </x:c>
      <x:c r="E54" s="10" t="str">
        <x:v>observed</x:v>
      </x:c>
      <x:c r="F54" s="10" t="str">
        <x:v>Inventory and classify legacy routes</x:v>
      </x:c>
      <x:c r="G54" s="10" t="str">
        <x:v>Every `/api/tours/*` consumer has owner, replacement, data source, flag, and retirement milestone; no undocumented write path remains.</x:v>
      </x:c>
      <x:c r="H54" s="10" t="str">
        <x:v>ADM-WF-005</x:v>
      </x:c>
      <x:c r="I54" s="10" t="str"/>
      <x:c r="J54" s="10" t="str">
        <x:v>Historical feature-spec progress ledger: done — 16/16 legacy routes inventoried + CI gate</x:v>
      </x:c>
    </x:row>
    <x:row r="55" ht="42" customHeight="1">
      <x:c r="A55" s="10" t="str">
        <x:v>TOUR-104</x:v>
      </x:c>
      <x:c r="B55" s="11" t="n">
        <x:v>54</x:v>
      </x:c>
      <x:c r="C55" s="11" t="n">
        <x:v>1</x:v>
      </x:c>
      <x:c r="D55" s="10" t="str">
        <x:v>02</x:v>
      </x:c>
      <x:c r="E55" s="10" t="str">
        <x:v>observed</x:v>
      </x:c>
      <x:c r="F55" s="10" t="str">
        <x:v>Build portfolio query contract</x:v>
      </x:c>
      <x:c r="G55" s="10" t="str">
        <x:v>Cursor pagination, filter grammar, sort allowlist, stable counts, search normalization, and authorization are contract-tested on representative scale.</x:v>
      </x:c>
      <x:c r="H55" s="10" t="str">
        <x:v>ADM-WF-005</x:v>
      </x:c>
      <x:c r="I55" s="10" t="str"/>
      <x:c r="J55" s="10" t="str">
        <x:v>Historical feature-spec progress ledger: done — Portfolio query contract + n=500 tests; GET page meta</x:v>
      </x:c>
    </x:row>
    <x:row r="56" ht="42" customHeight="1">
      <x:c r="A56" s="10" t="str">
        <x:v>TOUR-105</x:v>
      </x:c>
      <x:c r="B56" s="11" t="n">
        <x:v>55</x:v>
      </x:c>
      <x:c r="C56" s="11" t="n">
        <x:v>1</x:v>
      </x:c>
      <x:c r="D56" s="10" t="str">
        <x:v>02</x:v>
      </x:c>
      <x:c r="E56" s="10" t="str">
        <x:v>observed</x:v>
      </x:c>
      <x:c r="F56" s="10" t="str">
        <x:v>Add explicit error/degraded states</x:v>
      </x:c>
      <x:c r="G56" s="10" t="str">
        <x:v>Portfolio and command-center tabs distinguish permission, unavailable dependency, stale snapshot, no records, and system error with retry/correlation support.</x:v>
      </x:c>
      <x:c r="H56" s="10" t="str">
        <x:v>ADM-WF-005</x:v>
      </x:c>
      <x:c r="I56" s="10" t="str"/>
      <x:c r="J56" s="10" t="str">
        <x:v>Historical feature-spec progress ledger: done — Surface states + portfolio/command-center wiring</x:v>
      </x:c>
    </x:row>
    <x:row r="57" ht="42" customHeight="1">
      <x:c r="A57" s="10" t="str">
        <x:v>TOUR-106</x:v>
      </x:c>
      <x:c r="B57" s="11" t="n">
        <x:v>56</x:v>
      </x:c>
      <x:c r="C57" s="11" t="n">
        <x:v>1</x:v>
      </x:c>
      <x:c r="D57" s="10" t="str">
        <x:v>02</x:v>
      </x:c>
      <x:c r="E57" s="10" t="str">
        <x:v>observed</x:v>
      </x:c>
      <x:c r="F57" s="10" t="str">
        <x:v>Instrument tour access and latency</x:v>
      </x:c>
      <x:c r="G57" s="10" t="str">
        <x:v>Metrics capture list/summary latency, denied/failed calls, stale read models, legacy-route usage, and client request fanout.</x:v>
      </x:c>
      <x:c r="H57" s="10" t="str">
        <x:v>ADM-WF-005</x:v>
      </x:c>
      <x:c r="I57" s="10" t="str"/>
      <x:c r="J57" s="10" t="str">
        <x:v>Historical feature-spec progress ledger: done — Telemetry events + table + list/summary/legacy/fanout</x:v>
      </x:c>
    </x:row>
    <x:row r="58" ht="42" customHeight="1">
      <x:c r="A58" s="10" t="str">
        <x:v>PLAN-101</x:v>
      </x:c>
      <x:c r="B58" s="11" t="n">
        <x:v>57</x:v>
      </x:c>
      <x:c r="C58" s="11" t="n">
        <x:v>1</x:v>
      </x:c>
      <x:c r="D58" s="10" t="str">
        <x:v>03</x:v>
      </x:c>
      <x:c r="E58" s="10" t="str">
        <x:v>observed</x:v>
      </x:c>
      <x:c r="F58" s="10" t="str">
        <x:v>Build canonical plan read/write service</x:v>
      </x:c>
      <x:c r="G58" s="10" t="str">
        <x:v>Builder no longer writes route JSON and links independently; command validates org, capability, plan version, and full plan schema.</x:v>
      </x:c>
      <x:c r="H58" s="10" t="str">
        <x:v>ADM-WF-005</x:v>
      </x:c>
      <x:c r="I58" s="10" t="str"/>
      <x:c r="J58" s="10" t="str">
        <x:v>Historical feature-spec progress ledger: done — Canonical plan R/W + builder uses PUT /plan</x:v>
      </x:c>
    </x:row>
    <x:row r="59" ht="42" customHeight="1">
      <x:c r="A59" s="10" t="str">
        <x:v>PLAN-102</x:v>
      </x:c>
      <x:c r="B59" s="11" t="n">
        <x:v>58</x:v>
      </x:c>
      <x:c r="C59" s="11" t="n">
        <x:v>1</x:v>
      </x:c>
      <x:c r="D59" s="10" t="str">
        <x:v>03</x:v>
      </x:c>
      <x:c r="E59" s="10" t="str">
        <x:v>observed</x:v>
      </x:c>
      <x:c r="F59" s="10" t="str">
        <x:v>Add optimistic plan version</x:v>
      </x:c>
      <x:c r="G59" s="10" t="str">
        <x:v>Every mutation returns new version; stale edits return `409 version_conflict` with safe diff; autosave never silently overwrites.</x:v>
      </x:c>
      <x:c r="H59" s="10" t="str">
        <x:v>ADM-WF-005</x:v>
      </x:c>
      <x:c r="I59" s="10" t="str"/>
      <x:c r="J59" s="10" t="str">
        <x:v>Historical feature-spec progress ledger: done — 409 + safe diff; autosave adopts server plan</x:v>
      </x:c>
    </x:row>
    <x:row r="60" ht="42" customHeight="1">
      <x:c r="A60" s="10" t="str">
        <x:v>PLAN-103</x:v>
      </x:c>
      <x:c r="B60" s="11" t="n">
        <x:v>59</x:v>
      </x:c>
      <x:c r="C60" s="11" t="n">
        <x:v>1</x:v>
      </x:c>
      <x:c r="D60" s="10" t="str">
        <x:v>03</x:v>
      </x:c>
      <x:c r="E60" s="10" t="str">
        <x:v>observed</x:v>
      </x:c>
      <x:c r="F60" s="10" t="str">
        <x:v>Add exact stop reconciliation</x:v>
      </x:c>
      <x:c r="G60" s="10" t="str">
        <x:v>Submitted set supports add/update/reorder/detach; omitted links are handled according to explicit mode; event identity is retained unless separately eligible for deletion.</x:v>
      </x:c>
      <x:c r="H60" s="10" t="str">
        <x:v>ADM-WF-005</x:v>
      </x:c>
      <x:c r="I60" s="10" t="str"/>
      <x:c r="J60" s="10" t="str">
        <x:v>Historical feature-spec progress ledger: done — exact/merge/attach_only reconcile; events retained on detach</x:v>
      </x:c>
    </x:row>
    <x:row r="61" ht="42" customHeight="1">
      <x:c r="A61" s="10" t="str">
        <x:v>PLAN-104</x:v>
      </x:c>
      <x:c r="B61" s="11" t="n">
        <x:v>60</x:v>
      </x:c>
      <x:c r="C61" s="11" t="n">
        <x:v>1</x:v>
      </x:c>
      <x:c r="D61" s="10" t="str">
        <x:v>03</x:v>
      </x:c>
      <x:c r="E61" s="10" t="str">
        <x:v>observed</x:v>
      </x:c>
      <x:c r="F61" s="10" t="str">
        <x:v>Add reconciliation preview</x:v>
      </x:c>
      <x:c r="G61" s="10" t="str">
        <x:v>UI displays exact relational and downstream consequences before destructive detach/reorder/date/venue changes.</x:v>
      </x:c>
      <x:c r="H61" s="10" t="str">
        <x:v>ADM-WF-005</x:v>
      </x:c>
      <x:c r="I61" s="10" t="str"/>
      <x:c r="J61" s="10" t="str">
        <x:v>Historical feature-spec progress ledger: done — reconcile-preview API + builder confirm dialog</x:v>
      </x:c>
    </x:row>
    <x:row r="62" ht="42" customHeight="1">
      <x:c r="A62" s="10" t="str">
        <x:v>PLAN-105</x:v>
      </x:c>
      <x:c r="B62" s="11" t="n">
        <x:v>61</x:v>
      </x:c>
      <x:c r="C62" s="11" t="n">
        <x:v>1</x:v>
      </x:c>
      <x:c r="D62" s="10" t="str">
        <x:v>03</x:v>
      </x:c>
      <x:c r="E62" s="10" t="str">
        <x:v>observed</x:v>
      </x:c>
      <x:c r="F62" s="10" t="str">
        <x:v>Remove implicit operational seeding</x:v>
      </x:c>
      <x:c r="G62" s="10" t="str">
        <x:v>Builder records setup intent only; staff shifts/ticket inventory require explicit reviewed provisioning commands with visible results.</x:v>
      </x:c>
      <x:c r="H62" s="10" t="str">
        <x:v>ADM-WF-005</x:v>
      </x:c>
      <x:c r="I62" s="10" t="str"/>
      <x:c r="J62" s="10" t="str">
        <x:v>Historical feature-spec progress ledger: done — setup_intent only; explicit /provision command</x:v>
      </x:c>
    </x:row>
    <x:row r="63" ht="42" customHeight="1">
      <x:c r="A63" s="10" t="str">
        <x:v>PUB-101</x:v>
      </x:c>
      <x:c r="B63" s="11" t="n">
        <x:v>62</x:v>
      </x:c>
      <x:c r="C63" s="11" t="n">
        <x:v>1</x:v>
      </x:c>
      <x:c r="D63" s="10" t="str">
        <x:v>04</x:v>
      </x:c>
      <x:c r="E63" s="10" t="str">
        <x:v>ready_for_independent_verification</x:v>
      </x:c>
      <x:c r="F63" s="10" t="str">
        <x:v>Create outbox infrastructure</x:v>
      </x:c>
      <x:c r="G63" s="10" t="str">
        <x:v>Domain transaction and outbox write are atomic; workers are idempotent; retry/backoff/dead letter/replay and correlation are implemented.</x:v>
      </x:c>
      <x:c r="H63" s="10" t="str">
        <x:v>ADM-WF-004; ADM-WF-012</x:v>
      </x:c>
      <x:c r="I63" s="10" t="str"/>
      <x:c r="J63" s="10" t="str">
        <x:v>Historical feature-spec progress ledger: done — Atomic domain+outbox; claim/backoff/DLQ/replay; cron+admin APIs; Strict revalidation progress ledger: done — Manual corrective SQL scopes worker mutations by org, recovers stale claims, rejects conflicting idempotency reuse, resets replay budget, and preserves retry/dead-letter/correlation contracts; 31 tests/lint/scanner pass</x:v>
      </x:c>
    </x:row>
    <x:row r="64" ht="42" customHeight="1">
      <x:c r="A64" s="10" t="str">
        <x:v>PUB-102</x:v>
      </x:c>
      <x:c r="B64" s="11" t="n">
        <x:v>63</x:v>
      </x:c>
      <x:c r="C64" s="11" t="n">
        <x:v>1</x:v>
      </x:c>
      <x:c r="D64" s="10" t="str">
        <x:v>04</x:v>
      </x:c>
      <x:c r="E64" s="10" t="str">
        <x:v>ready_for_independent_verification</x:v>
      </x:c>
      <x:c r="F64" s="10" t="str">
        <x:v>Create publication schema</x:v>
      </x:c>
      <x:c r="G64" s="10" t="str">
        <x:v>Snapshot, section, audience, recipient, delivery, acknowledgement, share token, access log, and outbox relations have org-scoped RLS.</x:v>
      </x:c>
      <x:c r="H64" s="10" t="str">
        <x:v>ADM-WF-004; ADM-WF-012</x:v>
      </x:c>
      <x:c r="I64" s="10" t="str"/>
      <x:c r="J64" s="10" t="str">
        <x:v>Historical feature-spec progress ledger: done — Snapshot→access-log schema + org RLS + TS contract; Strict revalidation progress ledger: done — Manual SQL derives child org ownership from canonical parents, quarantines ambiguity, adds composite org FKs, and restricts snapshot/PII/token direct reads; 47 tests/lint/scanner pass</x:v>
      </x:c>
    </x:row>
    <x:row r="65" ht="42" customHeight="1">
      <x:c r="A65" s="10" t="str">
        <x:v>PUB-103</x:v>
      </x:c>
      <x:c r="B65" s="11" t="n">
        <x:v>64</x:v>
      </x:c>
      <x:c r="C65" s="11" t="n">
        <x:v>1</x:v>
      </x:c>
      <x:c r="D65" s="10" t="str">
        <x:v>04</x:v>
      </x:c>
      <x:c r="E65" s="10" t="str">
        <x:v>ready_for_independent_verification</x:v>
      </x:c>
      <x:c r="F65" s="10" t="str">
        <x:v>Build channel adapter contract</x:v>
      </x:c>
      <x:c r="G65" s="10" t="str">
        <x:v>In-app is first-class; email/SMS/push adapters expose request, provider ID, delivery state, retryability, and cost/consent metadata.</x:v>
      </x:c>
      <x:c r="H65" s="10" t="str">
        <x:v>ADM-WF-004; ADM-WF-012</x:v>
      </x:c>
      <x:c r="I65" s="10" t="str"/>
      <x:c r="J65" s="10" t="str">
        <x:v>Historical feature-spec progress ledger: done — In-app first-class; email/SMS/push adapter contract; Strict revalidation progress ledger: done (early Phase 1 hardening) — Adapters preserve Resend/Twilio/Expo receipt IDs, expose normalized state/retry/cost/consent, and fail consent closed; 10 focused tests/lint pass</x:v>
      </x:c>
    </x:row>
    <x:row r="66" ht="42" customHeight="1">
      <x:c r="A66" s="10" t="str">
        <x:v>EVENT-101</x:v>
      </x:c>
      <x:c r="B66" s="11" t="n">
        <x:v>65</x:v>
      </x:c>
      <x:c r="C66" s="11" t="n">
        <x:v>1</x:v>
      </x:c>
      <x:c r="D66" s="10" t="str">
        <x:v>05</x:v>
      </x:c>
      <x:c r="E66" s="10" t="str">
        <x:v>observed</x:v>
      </x:c>
      <x:c r="F66" s="10" t="str">
        <x:v>Converge event access and APIs</x:v>
      </x:c>
      <x:c r="G66" s="10" t="str">
        <x:v>Builder, command center, advance, check-in, files, and live operations use the same org/event capability service and child-record checks.</x:v>
      </x:c>
      <x:c r="H66" s="10" t="str">
        <x:v>ADM-WF-004</x:v>
      </x:c>
      <x:c r="I66" s="10" t="str"/>
      <x:c r="J66" s="10" t="str">
        <x:v>Historical feature-spec progress ledger: done — Canonical event-access.service; advancing/day-sheet/docs wired</x:v>
      </x:c>
    </x:row>
    <x:row r="67" ht="42" customHeight="1">
      <x:c r="A67" s="10" t="str">
        <x:v>EVENT-102</x:v>
      </x:c>
      <x:c r="B67" s="11" t="n">
        <x:v>66</x:v>
      </x:c>
      <x:c r="C67" s="11" t="n">
        <x:v>1</x:v>
      </x:c>
      <x:c r="D67" s="10" t="str">
        <x:v>05</x:v>
      </x:c>
      <x:c r="E67" s="10" t="str">
        <x:v>observed</x:v>
      </x:c>
      <x:c r="F67" s="10" t="str">
        <x:v>Normalize event setup fields</x:v>
      </x:c>
      <x:c r="G67" s="10" t="str">
        <x:v>Venue relation, promoter/contact, local times, capacities, age/curfew, production windows, and ownership have typed destinations and validation.</x:v>
      </x:c>
      <x:c r="H67" s="10" t="str">
        <x:v>ADM-WF-004</x:v>
      </x:c>
      <x:c r="I67" s="10" t="str"/>
      <x:c r="J67" s="10" t="str">
        <x:v>Historical feature-spec progress ledger: done — Typed setup destinations + validation on create/update</x:v>
      </x:c>
    </x:row>
    <x:row r="68" ht="42" customHeight="1">
      <x:c r="A68" s="10" t="str">
        <x:v>EVENT-103</x:v>
      </x:c>
      <x:c r="B68" s="11" t="n">
        <x:v>67</x:v>
      </x:c>
      <x:c r="C68" s="11" t="n">
        <x:v>1</x:v>
      </x:c>
      <x:c r="D68" s="10" t="str">
        <x:v>05</x:v>
      </x:c>
      <x:c r="E68" s="10" t="str">
        <x:v>observed</x:v>
      </x:c>
      <x:c r="F68" s="10" t="str">
        <x:v>Replace best-effort seeds</x:v>
      </x:c>
      <x:c r="G68" s="10" t="str">
        <x:v>Event creation returns explicit setup checklist for staffing, ticketing, advance, logistics, and finance; provisioning commands show exact changes/failures and never invent capacity/shift data.</x:v>
      </x:c>
      <x:c r="H68" s="10" t="str">
        <x:v>ADM-WF-004</x:v>
      </x:c>
      <x:c r="I68" s="10" t="str"/>
      <x:c r="J68" s="10" t="str">
        <x:v>Historical feature-spec progress ledger: done — Setup checklist on create; provision changes/failures; no invented ops</x:v>
      </x:c>
    </x:row>
    <x:row r="69" ht="42" customHeight="1">
      <x:c r="A69" s="10" t="str">
        <x:v>EVENT-104</x:v>
      </x:c>
      <x:c r="B69" s="11" t="n">
        <x:v>68</x:v>
      </x:c>
      <x:c r="C69" s="11" t="n">
        <x:v>1</x:v>
      </x:c>
      <x:c r="D69" s="10" t="str">
        <x:v>05</x:v>
      </x:c>
      <x:c r="E69" s="10" t="str">
        <x:v>observed</x:v>
      </x:c>
      <x:c r="F69" s="10" t="str">
        <x:v>Add event version/conflict handling</x:v>
      </x:c>
      <x:c r="G69" s="10" t="str">
        <x:v>Concurrent changes and tour-plan changes surface version conflict or approved reconciliation; no silent overwrite.</x:v>
      </x:c>
      <x:c r="H69" s="10" t="str">
        <x:v>ADM-WF-004</x:v>
      </x:c>
      <x:c r="I69" s="10" t="str"/>
      <x:c r="J69" s="10" t="str">
        <x:v>Historical feature-spec progress ledger: done — event_version CAS + 409 diff; tour-plan touch bumps</x:v>
      </x:c>
    </x:row>
    <x:row r="70" ht="42" customHeight="1">
      <x:c r="A70" s="10" t="str">
        <x:v>WORK-101</x:v>
      </x:c>
      <x:c r="B70" s="11" t="n">
        <x:v>69</x:v>
      </x:c>
      <x:c r="C70" s="11" t="n">
        <x:v>1</x:v>
      </x:c>
      <x:c r="D70" s="10" t="str">
        <x:v>06</x:v>
      </x:c>
      <x:c r="E70" s="10" t="str">
        <x:v>observed</x:v>
      </x:c>
      <x:c r="F70" s="10" t="str">
        <x:v>Map existing person/assignment records</x:v>
      </x:c>
      <x:c r="G70" s="10" t="str">
        <x:v>Each roster/team/participant/staff/employment/Work Mode field has canonical destination and identity-resolution rule; duplicate risk report is generated.</x:v>
      </x:c>
      <x:c r="H70" s="10" t="str">
        <x:v>ADM-WF-008</x:v>
      </x:c>
      <x:c r="I70" s="10" t="str"/>
      <x:c r="J70" s="10" t="str">
        <x:v>Historical feature-spec progress ledger: done — Identity map + duplicate risk report (13 sources, 5 patterns)</x:v>
      </x:c>
    </x:row>
    <x:row r="71" ht="42" customHeight="1">
      <x:c r="A71" s="10" t="str">
        <x:v>WORK-102</x:v>
      </x:c>
      <x:c r="B71" s="11" t="n">
        <x:v>70</x:v>
      </x:c>
      <x:c r="C71" s="11" t="n">
        <x:v>1</x:v>
      </x:c>
      <x:c r="D71" s="10" t="str">
        <x:v>06</x:v>
      </x:c>
      <x:c r="E71" s="10" t="str">
        <x:v>observed</x:v>
      </x:c>
      <x:c r="F71" s="10" t="str">
        <x:v>Add organization and assignment authority</x:v>
      </x:c>
      <x:c r="G71" s="10" t="str">
        <x:v>All workforce records have org scope; server commands validate tour/event/role parents; protected fields use field-level projections.</x:v>
      </x:c>
      <x:c r="H71" s="10" t="str">
        <x:v>ADM-WF-008</x:v>
      </x:c>
      <x:c r="I71" s="10" t="str"/>
      <x:c r="J71" s="10" t="str">
        <x:v>Historical feature-spec progress ledger: done — can_workforce + org_id; authority + field projections; team-members/shifts wired</x:v>
      </x:c>
    </x:row>
    <x:row r="72" ht="42" customHeight="1">
      <x:c r="A72" s="10" t="str">
        <x:v>WORK-103</x:v>
      </x:c>
      <x:c r="B72" s="11" t="n">
        <x:v>71</x:v>
      </x:c>
      <x:c r="C72" s="11" t="n">
        <x:v>1</x:v>
      </x:c>
      <x:c r="D72" s="10" t="str">
        <x:v>06</x:v>
      </x:c>
      <x:c r="E72" s="10" t="str">
        <x:v>observed</x:v>
      </x:c>
      <x:c r="F72" s="10" t="str">
        <x:v>Create canonical assignment service</x:v>
      </x:c>
      <x:c r="G72" s="10" t="str">
        <x:v>Tour/event panels, scheduling, hiring conversion, calendar, and Work Mode use the same person/role/assignment identity and status transitions.</x:v>
      </x:c>
      <x:c r="H72" s="10" t="str">
        <x:v>ADM-WF-008</x:v>
      </x:c>
      <x:c r="I72" s="10" t="str"/>
      <x:c r="J72" s="10" t="str">
        <x:v>Historical feature-spec progress ledger: done — Canonical identity + status transitions; sync/hire/tour/calendar wired</x:v>
      </x:c>
    </x:row>
    <x:row r="73" ht="42" customHeight="1">
      <x:c r="A73" s="10" t="str">
        <x:v>WORK-104</x:v>
      </x:c>
      <x:c r="B73" s="11" t="n">
        <x:v>72</x:v>
      </x:c>
      <x:c r="C73" s="11" t="n">
        <x:v>1</x:v>
      </x:c>
      <x:c r="D73" s="10" t="str">
        <x:v>06</x:v>
      </x:c>
      <x:c r="E73" s="10" t="str">
        <x:v>observed</x:v>
      </x:c>
      <x:c r="F73" s="10" t="str">
        <x:v>Remove demo availability/templates from live mode</x:v>
      </x:c>
      <x:c r="G73" s="10" t="str">
        <x:v>Live organizations use persisted records only; demo fixtures are isolated by environment/account and visibly labeled.</x:v>
      </x:c>
      <x:c r="H73" s="10" t="str">
        <x:v>ADM-WF-008</x:v>
      </x:c>
      <x:c r="I73" s="10" t="str"/>
      <x:c r="J73" s="10" t="str">
        <x:v>Historical feature-spec progress ledger: done — Live avail from shifts only; demo templates isolated + labeled</x:v>
      </x:c>
    </x:row>
    <x:row r="74" ht="42" customHeight="1">
      <x:c r="A74" s="10" t="str">
        <x:v>WORK-105</x:v>
      </x:c>
      <x:c r="B74" s="11" t="n">
        <x:v>73</x:v>
      </x:c>
      <x:c r="C74" s="11" t="n">
        <x:v>1</x:v>
      </x:c>
      <x:c r="D74" s="10" t="str">
        <x:v>06</x:v>
      </x:c>
      <x:c r="E74" s="10" t="str">
        <x:v>observed</x:v>
      </x:c>
      <x:c r="F74" s="10" t="str">
        <x:v>Add identity merge/reconciliation</x:v>
      </x:c>
      <x:c r="G74" s="10" t="str">
        <x:v>Authorized workflow identifies likely duplicates, previews references, merges safely, retains audit/aliases, and never auto-merges on weak signals.</x:v>
      </x:c>
      <x:c r="H74" s="10" t="str">
        <x:v>ADM-WF-008</x:v>
      </x:c>
      <x:c r="I74" s="10" t="str"/>
      <x:c r="J74" s="10" t="str">
        <x:v>Historical feature-spec progress ledger: done — Duplicate scan/preview/merge; weak signals blocked; aliases table</x:v>
      </x:c>
    </x:row>
    <x:row r="75" ht="42" customHeight="1">
      <x:c r="A75" s="10" t="str">
        <x:v>TRAVEL-101</x:v>
      </x:c>
      <x:c r="B75" s="11" t="n">
        <x:v>74</x:v>
      </x:c>
      <x:c r="C75" s="11" t="n">
        <x:v>1</x:v>
      </x:c>
      <x:c r="D75" s="10" t="str">
        <x:v>07</x:v>
      </x:c>
      <x:c r="E75" s="10" t="str">
        <x:v>observed</x:v>
      </x:c>
      <x:c r="F75" s="10" t="str">
        <x:v>Add/backfill non-null organization keys</x:v>
      </x:c>
      <x:c r="G75" s="10" t="str">
        <x:v>Every travel/lodging/transport parent and child is scoped; unresolved rows are quarantined; counts and referential consistency are verified.</x:v>
      </x:c>
      <x:c r="H75" s="10" t="str">
        <x:v>ADM-WF-013</x:v>
      </x:c>
      <x:c r="I75" s="10" t="str"/>
      <x:c r="J75" s="10" t="str">
        <x:v>Historical feature-spec progress ledger: done — Child org_id + quarantine + verify RPC; travel/lodging/transport writes stamp org</x:v>
      </x:c>
    </x:row>
    <x:row r="76" ht="42" customHeight="1">
      <x:c r="A76" s="10" t="str">
        <x:v>TRAVEL-102</x:v>
      </x:c>
      <x:c r="B76" s="11" t="n">
        <x:v>75</x:v>
      </x:c>
      <x:c r="C76" s="11" t="n">
        <x:v>1</x:v>
      </x:c>
      <x:c r="D76" s="10" t="str">
        <x:v>07</x:v>
      </x:c>
      <x:c r="E76" s="10" t="str">
        <x:v>observed</x:v>
      </x:c>
      <x:c r="F76" s="10" t="str">
        <x:v>Replace permissive RLS</x:v>
      </x:c>
      <x:c r="G76" s="10" t="str">
        <x:v>Direct clients cannot list or mutate another organization through parent or child IDs; legitimate tour/logistics roles pass.</x:v>
      </x:c>
      <x:c r="H76" s="10" t="str">
        <x:v>ADM-WF-013</x:v>
      </x:c>
      <x:c r="I76" s="10" t="str"/>
      <x:c r="J76" s="10" t="str">
        <x:v>Historical feature-spec progress ledger: done — Catalog blankets → can_logistics; children org_id+parent match</x:v>
      </x:c>
    </x:row>
    <x:row r="77" ht="42" customHeight="1">
      <x:c r="A77" s="10" t="str">
        <x:v>TRAVEL-103</x:v>
      </x:c>
      <x:c r="B77" s="11" t="n">
        <x:v>76</x:v>
      </x:c>
      <x:c r="C77" s="11" t="n">
        <x:v>1</x:v>
      </x:c>
      <x:c r="D77" s="10" t="str">
        <x:v>07</x:v>
      </x:c>
      <x:c r="E77" s="10" t="str">
        <x:v>observed</x:v>
      </x:c>
      <x:c r="F77" s="10" t="str">
        <x:v>Replace arbitrary CRUD payloads</x:v>
      </x:c>
      <x:c r="G77" s="10" t="str">
        <x:v>Per-command schemas allow explicit fields and state transitions; record and parent belong to acting org; unknown fields are rejected.</x:v>
      </x:c>
      <x:c r="H77" s="10" t="str">
        <x:v>ADM-WF-013</x:v>
      </x:c>
      <x:c r="I77" s="10" t="str"/>
      <x:c r="J77" s="10" t="str">
        <x:v>Historical feature-spec progress ledger: done — Historical completion claim retained without automatic status credit.</x:v>
      </x:c>
    </x:row>
    <x:row r="78" ht="42" customHeight="1">
      <x:c r="A78" s="10" t="str">
        <x:v>TRAVEL-104</x:v>
      </x:c>
      <x:c r="B78" s="11" t="n">
        <x:v>77</x:v>
      </x:c>
      <x:c r="C78" s="11" t="n">
        <x:v>1</x:v>
      </x:c>
      <x:c r="D78" s="10" t="str">
        <x:v>07</x:v>
      </x:c>
      <x:c r="E78" s="10" t="str">
        <x:v>observed</x:v>
      </x:c>
      <x:c r="F78" s="10" t="str">
        <x:v>Correct coordination language/state</x:v>
      </x:c>
      <x:c r="G78" s="10" t="str">
        <x:v>UI distinguishes suggestion/review/request/hold/confirmed; existing “auto-coordinate” action truthfully reports only records/tasks actually created.</x:v>
      </x:c>
      <x:c r="H78" s="10" t="str">
        <x:v>ADM-WF-013</x:v>
      </x:c>
      <x:c r="I78" s="10" t="str"/>
      <x:c r="J78" s="10" t="str">
        <x:v>Historical feature-spec progress ledger: done — Historical completion claim retained without automatic status credit.</x:v>
      </x:c>
    </x:row>
    <x:row r="79" ht="42" customHeight="1">
      <x:c r="A79" s="10" t="str">
        <x:v>LOG-101</x:v>
      </x:c>
      <x:c r="B79" s="11" t="n">
        <x:v>78</x:v>
      </x:c>
      <x:c r="C79" s="11" t="n">
        <x:v>1</x:v>
      </x:c>
      <x:c r="D79" s="10" t="str">
        <x:v>08</x:v>
      </x:c>
      <x:c r="E79" s="10" t="str">
        <x:v>observed</x:v>
      </x:c>
      <x:c r="F79" s="10" t="str">
        <x:v>Add/verify org scope across logistics</x:v>
      </x:c>
      <x:c r="G79" s="10" t="str">
        <x:v>Tasks, attachments, equipment, rentals, catering, maps, notes, collaborators, and child records pass direct-client multi-org tests.</x:v>
      </x:c>
      <x:c r="H79" s="10" t="str">
        <x:v>ADM-WF-013</x:v>
      </x:c>
      <x:c r="I79" s="10" t="str"/>
      <x:c r="J79" s="10" t="str">
        <x:v>Historical feature-spec progress ledger: done — Historical completion claim retained without automatic status credit.</x:v>
      </x:c>
    </x:row>
    <x:row r="80" ht="42" customHeight="1">
      <x:c r="A80" s="10" t="str">
        <x:v>LOG-102</x:v>
      </x:c>
      <x:c r="B80" s="11" t="n">
        <x:v>79</x:v>
      </x:c>
      <x:c r="C80" s="11" t="n">
        <x:v>1</x:v>
      </x:c>
      <x:c r="D80" s="10" t="str">
        <x:v>08</x:v>
      </x:c>
      <x:c r="E80" s="10" t="str">
        <x:v>observed</x:v>
      </x:c>
      <x:c r="F80" s="10" t="str">
        <x:v>Define task taxonomy and authority</x:v>
      </x:c>
      <x:c r="G80" s="10" t="str">
        <x:v>Domain/category values are non-overlapping; generic task versus structured entity responsibility is documented and enforced.</x:v>
      </x:c>
      <x:c r="H80" s="10" t="str">
        <x:v>ADM-WF-013</x:v>
      </x:c>
      <x:c r="I80" s="10" t="str"/>
      <x:c r="J80" s="10" t="str">
        <x:v>Historical feature-spec progress ledger: done — Historical completion claim retained without automatic status credit.</x:v>
      </x:c>
    </x:row>
    <x:row r="81" ht="42" customHeight="1">
      <x:c r="A81" s="10" t="str">
        <x:v>LOG-103</x:v>
      </x:c>
      <x:c r="B81" s="11" t="n">
        <x:v>80</x:v>
      </x:c>
      <x:c r="C81" s="11" t="n">
        <x:v>1</x:v>
      </x:c>
      <x:c r="D81" s="10" t="str">
        <x:v>08</x:v>
      </x:c>
      <x:c r="E81" s="10" t="str">
        <x:v>observed</x:v>
      </x:c>
      <x:c r="F81" s="10" t="str">
        <x:v>Build canonical logistics command service</x:v>
      </x:c>
      <x:c r="G81" s="10" t="str">
        <x:v>Per-action schemas, parent access, allowed transitions, idempotency, audit, and typed errors replace arbitrary record updates.</x:v>
      </x:c>
      <x:c r="H81" s="10" t="str">
        <x:v>ADM-WF-013</x:v>
      </x:c>
      <x:c r="I81" s="10" t="str"/>
      <x:c r="J81" s="10" t="str">
        <x:v>Historical feature-spec progress ledger: done — Historical completion claim retained without automatic status credit.</x:v>
      </x:c>
    </x:row>
    <x:row r="82" ht="42" customHeight="1">
      <x:c r="A82" s="10" t="str">
        <x:v>LOG-104</x:v>
      </x:c>
      <x:c r="B82" s="11" t="n">
        <x:v>81</x:v>
      </x:c>
      <x:c r="C82" s="11" t="n">
        <x:v>1</x:v>
      </x:c>
      <x:c r="D82" s="10" t="str">
        <x:v>08</x:v>
      </x:c>
      <x:c r="E82" s="10" t="str">
        <x:v>observed</x:v>
      </x:c>
      <x:c r="F82" s="10" t="str">
        <x:v>Add tour-first scope/navigation</x:v>
      </x:c>
      <x:c r="G82" s="10" t="str">
        <x:v>Logistics page supports organization → tour → stop/event/leg filters, preserves scope in URLs, and never defaults to a different org/tour silently.</x:v>
      </x:c>
      <x:c r="H82" s="10" t="str">
        <x:v>ADM-WF-013</x:v>
      </x:c>
      <x:c r="I82" s="10" t="str"/>
      <x:c r="J82" s="10" t="str">
        <x:v>Historical feature-spec progress ledger: done — Historical completion claim retained without automatic status credit.</x:v>
      </x:c>
    </x:row>
    <x:row r="83" ht="42" customHeight="1">
      <x:c r="A83" s="10" t="str">
        <x:v>MAP-101</x:v>
      </x:c>
      <x:c r="B83" s="11" t="n">
        <x:v>82</x:v>
      </x:c>
      <x:c r="C83" s="11" t="n">
        <x:v>1</x:v>
      </x:c>
      <x:c r="D83" s="10" t="str">
        <x:v>08</x:v>
      </x:c>
      <x:c r="E83" s="10" t="str">
        <x:v>observed</x:v>
      </x:c>
      <x:c r="F83" s="10" t="str">
        <x:v>Add organization inheritance to maps</x:v>
      </x:c>
      <x:c r="G83" s="10" t="str">
        <x:v>Authorized tour/event users discover maps by capability; external collaborator/token behavior remains scoped and tested.</x:v>
      </x:c>
      <x:c r="H83" s="10" t="str">
        <x:v>ADM-WF-013</x:v>
      </x:c>
      <x:c r="I83" s="10" t="str"/>
      <x:c r="J83" s="10" t="str">
        <x:v>Historical feature-spec progress ledger: done — Historical completion claim retained without automatic status credit.</x:v>
      </x:c>
    </x:row>
    <x:row r="84" ht="42" customHeight="1">
      <x:c r="A84" s="10" t="str">
        <x:v>TIX-101</x:v>
      </x:c>
      <x:c r="B84" s="11" t="n">
        <x:v>83</x:v>
      </x:c>
      <x:c r="C84" s="11" t="n">
        <x:v>1</x:v>
      </x:c>
      <x:c r="D84" s="10" t="str">
        <x:v>09</x:v>
      </x:c>
      <x:c r="E84" s="10" t="str">
        <x:v>observed</x:v>
      </x:c>
      <x:c r="F84" s="10" t="str">
        <x:v>Drop permissive legacy policies</x:v>
      </x:c>
      <x:c r="G84" s="10" t="str">
        <x:v>Explicit migration drops blanket policies; direct Org A/Org B tests prove parent and record-ID isolation before UI rollout.</x:v>
      </x:c>
      <x:c r="H84" s="10" t="str">
        <x:v>ADM-WF-019</x:v>
      </x:c>
      <x:c r="I84" s="10" t="str"/>
      <x:c r="J84" s="10" t="str">
        <x:v>Historical feature-spec progress ledger: done — Historical completion claim retained without automatic status credit.</x:v>
      </x:c>
    </x:row>
    <x:row r="85" ht="42" customHeight="1">
      <x:c r="A85" s="10" t="str">
        <x:v>TIX-102</x:v>
      </x:c>
      <x:c r="B85" s="11" t="n">
        <x:v>84</x:v>
      </x:c>
      <x:c r="C85" s="11" t="n">
        <x:v>1</x:v>
      </x:c>
      <x:c r="D85" s="10" t="str">
        <x:v>09</x:v>
      </x:c>
      <x:c r="E85" s="10" t="str">
        <x:v>observed</x:v>
      </x:c>
      <x:c r="F85" s="10" t="str">
        <x:v>Harden new ticketing RLS/functions</x:v>
      </x:c>
      <x:c r="G85" s="10" t="str">
        <x:v>Event/org/grant checks cover config, inventory, customer/order protected data, ticket, credential, transfer, check-in, allocation, reservation, webhook, and analytics records.</x:v>
      </x:c>
      <x:c r="H85" s="10" t="str">
        <x:v>ADM-WF-019</x:v>
      </x:c>
      <x:c r="I85" s="10" t="str"/>
      <x:c r="J85" s="10" t="str">
        <x:v>Historical feature-spec progress ledger: done — foundation can_ticketing + grant-row-only; tix102_* policies</x:v>
      </x:c>
    </x:row>
    <x:row r="86" ht="42" customHeight="1">
      <x:c r="A86" s="10" t="str">
        <x:v>TIX-103</x:v>
      </x:c>
      <x:c r="B86" s="11" t="n">
        <x:v>85</x:v>
      </x:c>
      <x:c r="C86" s="11" t="n">
        <x:v>1</x:v>
      </x:c>
      <x:c r="D86" s="10" t="str">
        <x:v>09</x:v>
      </x:c>
      <x:c r="E86" s="10" t="str">
        <x:v>observed</x:v>
      </x:c>
      <x:c r="F86" s="10" t="str">
        <x:v>Add canonical service/command layer</x:v>
      </x:c>
      <x:c r="G86" s="10" t="str">
        <x:v>Per-command schemas, capability, parent state, idempotency, inventory transaction, reason, audit, and typed errors are mandatory.</x:v>
      </x:c>
      <x:c r="H86" s="10" t="str">
        <x:v>ADM-WF-019</x:v>
      </x:c>
      <x:c r="I86" s="10" t="str"/>
      <x:c r="J86" s="10" t="str">
        <x:v>Historical feature-spec progress ledger: done — canonical commands + inventory + Idempotency-Key</x:v>
      </x:c>
    </x:row>
    <x:row r="87" ht="42" customHeight="1">
      <x:c r="A87" s="10" t="str">
        <x:v>TIX-104</x:v>
      </x:c>
      <x:c r="B87" s="11" t="n">
        <x:v>86</x:v>
      </x:c>
      <x:c r="C87" s="11" t="n">
        <x:v>1</x:v>
      </x:c>
      <x:c r="D87" s="10" t="str">
        <x:v>09</x:v>
      </x:c>
      <x:c r="E87" s="10" t="str">
        <x:v>observed</x:v>
      </x:c>
      <x:c r="F87" s="10" t="str">
        <x:v>Feature-flag Admin read model</x:v>
      </x:c>
      <x:c r="G87" s="10" t="str">
        <x:v>Admin can compare legacy/new totals per organization/event; mismatch dashboard blocks cutover and exposes causes.</x:v>
      </x:c>
      <x:c r="H87" s="10" t="str">
        <x:v>ADM-WF-019</x:v>
      </x:c>
      <x:c r="I87" s="10" t="str"/>
      <x:c r="J87" s="10" t="str">
        <x:v>Historical feature-spec progress ledger: done — dual-read mismatch dashboard; cutover blocked on delta</x:v>
      </x:c>
    </x:row>
    <x:row r="88" ht="42" customHeight="1">
      <x:c r="A88" s="10" t="str">
        <x:v>TIX-105</x:v>
      </x:c>
      <x:c r="B88" s="11" t="n">
        <x:v>87</x:v>
      </x:c>
      <x:c r="C88" s="11" t="n">
        <x:v>1</x:v>
      </x:c>
      <x:c r="D88" s="10" t="str">
        <x:v>09</x:v>
      </x:c>
      <x:c r="E88" s="10" t="str">
        <x:v>observed</x:v>
      </x:c>
      <x:c r="F88" s="10" t="str">
        <x:v>Remove default capacities</x:v>
      </x:c>
      <x:c r="G88" s="10" t="str">
        <x:v>Event builder requires explicit ticket setup or “not ticketed”; no GA/VIP records/quantities are silently created.</x:v>
      </x:c>
      <x:c r="H88" s="10" t="str">
        <x:v>ADM-WF-019</x:v>
      </x:c>
      <x:c r="I88" s="10" t="str"/>
      <x:c r="J88" s="10" t="str">
        <x:v>Historical feature-spec progress ledger: done — explicit setup / not_ticketed; no silent GA/qty</x:v>
      </x:c>
    </x:row>
    <x:row r="89" ht="42" customHeight="1">
      <x:c r="A89" s="10" t="str">
        <x:v>FIN-101</x:v>
      </x:c>
      <x:c r="B89" s="11" t="n">
        <x:v>88</x:v>
      </x:c>
      <x:c r="C89" s="11" t="n">
        <x:v>1</x:v>
      </x:c>
      <x:c r="D89" s="10" t="str">
        <x:v>10</x:v>
      </x:c>
      <x:c r="E89" s="10" t="str">
        <x:v>observed</x:v>
      </x:c>
      <x:c r="F89" s="10" t="str">
        <x:v>Add/backfill validated organization scope</x:v>
      </x:c>
      <x:c r="G89" s="10" t="str">
        <x:v>Every finance/budget/settlement child has resolvable org and parent consistency; unresolved rows are quarantined and inaccessible.</x:v>
      </x:c>
      <x:c r="H89" s="10" t="str">
        <x:v>ADM-WF-014</x:v>
      </x:c>
      <x:c r="I89" s="10" t="str"/>
      <x:c r="J89" s="10" t="str">
        <x:v>Historical feature-spec progress ledger: done — org keys + quarantine + fin101_* restrictive RLS</x:v>
      </x:c>
    </x:row>
    <x:row r="90" ht="42" customHeight="1">
      <x:c r="A90" s="10" t="str">
        <x:v>FIN-102</x:v>
      </x:c>
      <x:c r="B90" s="11" t="n">
        <x:v>89</x:v>
      </x:c>
      <x:c r="C90" s="11" t="n">
        <x:v>1</x:v>
      </x:c>
      <x:c r="D90" s="10" t="str">
        <x:v>10</x:v>
      </x:c>
      <x:c r="E90" s="10" t="str">
        <x:v>observed</x:v>
      </x:c>
      <x:c r="F90" s="10" t="str">
        <x:v>Replace blanket RLS</x:v>
      </x:c>
      <x:c r="G90" s="10" t="str">
        <x:v>Select/insert/update/delete require organization and finance capability; protected payment/person fields use narrower projection; direct-client tests pass.</x:v>
      </x:c>
      <x:c r="H90" s="10" t="str">
        <x:v>ADM-WF-014</x:v>
      </x:c>
      <x:c r="I90" s="10" t="str"/>
      <x:c r="J90" s="10" t="str">
        <x:v>Historical feature-spec progress ledger: done — blankets dropped; protected projection; direct-client cases</x:v>
      </x:c>
    </x:row>
    <x:row r="91" ht="42" customHeight="1">
      <x:c r="A91" s="10" t="str">
        <x:v>FIN-103</x:v>
      </x:c>
      <x:c r="B91" s="11" t="n">
        <x:v>90</x:v>
      </x:c>
      <x:c r="C91" s="11" t="n">
        <x:v>1</x:v>
      </x:c>
      <x:c r="D91" s="10" t="str">
        <x:v>10</x:v>
      </x:c>
      <x:c r="E91" s="10" t="str">
        <x:v>observed</x:v>
      </x:c>
      <x:c r="F91" s="10" t="str">
        <x:v>Harden finance commands</x:v>
      </x:c>
      <x:c r="G91" s="10" t="str">
        <x:v>Allowed-field schemas, org/parent predicates, state transitions, idempotency, money validation, expected version, reason, and immutable audit are required.</x:v>
      </x:c>
      <x:c r="H91" s="10" t="str">
        <x:v>ADM-WF-014</x:v>
      </x:c>
      <x:c r="I91" s="10" t="str"/>
      <x:c r="J91" s="10" t="str">
        <x:v>Historical feature-spec progress ledger: done — Canonical commands + compat routes</x:v>
      </x:c>
    </x:row>
    <x:row r="92" ht="42" customHeight="1">
      <x:c r="A92" s="10" t="str">
        <x:v>FIN-104</x:v>
      </x:c>
      <x:c r="B92" s="11" t="n">
        <x:v>91</x:v>
      </x:c>
      <x:c r="C92" s="11" t="n">
        <x:v>1</x:v>
      </x:c>
      <x:c r="D92" s="10" t="str">
        <x:v>10</x:v>
      </x:c>
      <x:c r="E92" s="10" t="str">
        <x:v>observed</x:v>
      </x:c>
      <x:c r="F92" s="10" t="str">
        <x:v>Remove raw UUID entry UX</x:v>
      </x:c>
      <x:c r="G92" s="10" t="str">
        <x:v>Users select authorized tour/event/vendor/PO/category from scoped search; server still validates relation and state.</x:v>
      </x:c>
      <x:c r="H92" s="10" t="str">
        <x:v>ADM-WF-014</x:v>
      </x:c>
      <x:c r="I92" s="10" t="str"/>
      <x:c r="J92" s="10" t="str">
        <x:v>Historical feature-spec progress ledger: done — Scope search picker; no UUID fields</x:v>
      </x:c>
    </x:row>
    <x:row r="93" ht="42" customHeight="1">
      <x:c r="A93" s="10" t="str">
        <x:v>FIN-105</x:v>
      </x:c>
      <x:c r="B93" s="11" t="n">
        <x:v>92</x:v>
      </x:c>
      <x:c r="C93" s="11" t="n">
        <x:v>1</x:v>
      </x:c>
      <x:c r="D93" s="10" t="str">
        <x:v>10</x:v>
      </x:c>
      <x:c r="E93" s="10" t="str">
        <x:v>observed</x:v>
      </x:c>
      <x:c r="F93" s="10" t="str">
        <x:v>Establish financial audit/reversal rules</x:v>
      </x:c>
      <x:c r="G93" s="10" t="str">
        <x:v>Approved/posted/settled records cannot be deleted/overwritten; reversal/adjustment links and before/after evidence are tested.</x:v>
      </x:c>
      <x:c r="H93" s="10" t="str">
        <x:v>ADM-WF-014</x:v>
      </x:c>
      <x:c r="I93" s="10" t="str"/>
      <x:c r="J93" s="10" t="str">
        <x:v>Historical feature-spec progress ledger: done — Reversal/adjustment links + immutability tests</x:v>
      </x:c>
    </x:row>
    <x:row r="94" ht="42" customHeight="1">
      <x:c r="A94" s="10" t="str">
        <x:v>VEND-101</x:v>
      </x:c>
      <x:c r="B94" s="11" t="n">
        <x:v>93</x:v>
      </x:c>
      <x:c r="C94" s="11" t="n">
        <x:v>1</x:v>
      </x:c>
      <x:c r="D94" s="10" t="str">
        <x:v>11</x:v>
      </x:c>
      <x:c r="E94" s="10" t="str">
        <x:v>observed</x:v>
      </x:c>
      <x:c r="F94" s="10" t="str">
        <x:v>Migrate vendor/team/job routes to canonical tour access</x:v>
      </x:c>
      <x:c r="G94" s="10" t="str">
        <x:v>Authorized organization/tour collaborators get consistent results; all mutations verify vendor/engagement/tour/event org and capability.</x:v>
      </x:c>
      <x:c r="H94" s="10" t="str">
        <x:v>ADM-WF-015</x:v>
      </x:c>
      <x:c r="I94" s="10" t="str"/>
      <x:c r="J94" s="10" t="str">
        <x:v>Historical feature-spec progress ledger: done — Legacy vendors/team + vendor-requests → tour/event access</x:v>
      </x:c>
    </x:row>
    <x:row r="95" ht="42" customHeight="1">
      <x:c r="A95" s="10" t="str">
        <x:v>VEND-102</x:v>
      </x:c>
      <x:c r="B95" s="11" t="n">
        <x:v>94</x:v>
      </x:c>
      <x:c r="C95" s="11" t="n">
        <x:v>1</x:v>
      </x:c>
      <x:c r="D95" s="10" t="str">
        <x:v>11</x:v>
      </x:c>
      <x:c r="E95" s="10" t="str">
        <x:v>observed</x:v>
      </x:c>
      <x:c r="F95" s="10" t="str">
        <x:v>Define vendor identity/deduplication</x:v>
      </x:c>
      <x:c r="G95" s="10" t="str">
        <x:v>Legal/display name, locations, contacts, category, external accounting ID, duplicate detection, merge and retained alias/history rules are approved.</x:v>
      </x:c>
      <x:c r="H95" s="10" t="str">
        <x:v>ADM-WF-015</x:v>
      </x:c>
      <x:c r="I95" s="10" t="str"/>
      <x:c r="J95" s="10" t="str">
        <x:v>Historical feature-spec progress ledger: done — ADR + vendors/aliases schema + identity TS contract</x:v>
      </x:c>
    </x:row>
    <x:row r="96" ht="42" customHeight="1">
      <x:c r="A96" s="10" t="str">
        <x:v>VEND-103</x:v>
      </x:c>
      <x:c r="B96" s="11" t="n">
        <x:v>95</x:v>
      </x:c>
      <x:c r="C96" s="11" t="n">
        <x:v>1</x:v>
      </x:c>
      <x:c r="D96" s="10" t="str">
        <x:v>11</x:v>
      </x:c>
      <x:c r="E96" s="10" t="str">
        <x:v>observed</x:v>
      </x:c>
      <x:c r="F96" s="10" t="str">
        <x:v>Add protected vendor-data policy</x:v>
      </x:c>
      <x:c r="G96" s="10" t="str">
        <x:v>Tax/payment/compliance documents and personal contacts have explicit fields/capabilities/retention; operational users receive least data.</x:v>
      </x:c>
      <x:c r="H96" s="10" t="str">
        <x:v>ADM-WF-015</x:v>
      </x:c>
      <x:c r="I96" s="10" t="str"/>
      <x:c r="J96" s="10" t="str">
        <x:v>Historical feature-spec progress ledger: done — vendor.sensitive + projection + vendor_documents</x:v>
      </x:c>
    </x:row>
    <x:row r="97" ht="42" customHeight="1">
      <x:c r="A97" s="10" t="str">
        <x:v>CAL-101</x:v>
      </x:c>
      <x:c r="B97" s="11" t="n">
        <x:v>96</x:v>
      </x:c>
      <x:c r="C97" s="11" t="n">
        <x:v>1</x:v>
      </x:c>
      <x:c r="D97" s="10" t="str">
        <x:v>12</x:v>
      </x:c>
      <x:c r="E97" s="10" t="str">
        <x:v>observed</x:v>
      </x:c>
      <x:c r="F97" s="10" t="str">
        <x:v>Reconcile source schemas</x:v>
      </x:c>
      <x:c r="G97" s="10" t="str">
        <x:v>Calendar source fields/tenant keys match deployed migrations and canonical models; missing/failed sources appear as degraded, not empty.</x:v>
      </x:c>
      <x:c r="H97" s="10" t="str">
        <x:v>ADM-WF-005; ADM-WF-016</x:v>
      </x:c>
      <x:c r="I97" s="10" t="str"/>
      <x:c r="J97" s="10" t="str">
        <x:v>Historical feature-spec progress ledger: done — Source health + org_id + hiring JSON dates; degraded UI</x:v>
      </x:c>
    </x:row>
    <x:row r="98" ht="42" customHeight="1">
      <x:c r="A98" s="10" t="str">
        <x:v>CAL-102</x:v>
      </x:c>
      <x:c r="B98" s="11" t="n">
        <x:v>97</x:v>
      </x:c>
      <x:c r="C98" s="11" t="n">
        <x:v>1</x:v>
      </x:c>
      <x:c r="D98" s="10" t="str">
        <x:v>12</x:v>
      </x:c>
      <x:c r="E98" s="10" t="str">
        <x:v>observed</x:v>
      </x:c>
      <x:c r="F98" s="10" t="str">
        <x:v>Enforce acting context and visibility</x:v>
      </x:c>
      <x:c r="G98" s="10" t="str">
        <x:v>Calendar queries use signed active org, capabilities, source access, and protected-field projection; multi-org tests include guessed source IDs and feeds.</x:v>
      </x:c>
      <x:c r="H98" s="10" t="str">
        <x:v>ADM-WF-005; ADM-WF-016</x:v>
      </x:c>
      <x:c r="I98" s="10" t="str"/>
      <x:c r="J98" s="10" t="str">
        <x:v>Historical feature-spec progress ledger: done — Acting org + caps + projection + isolation/feed contract</x:v>
      </x:c>
    </x:row>
    <x:row r="99" ht="42" customHeight="1">
      <x:c r="A99" s="10" t="str">
        <x:v>CAL-103</x:v>
      </x:c>
      <x:c r="B99" s="11" t="n">
        <x:v>98</x:v>
      </x:c>
      <x:c r="C99" s="11" t="n">
        <x:v>1</x:v>
      </x:c>
      <x:c r="D99" s="10" t="str">
        <x:v>12</x:v>
      </x:c>
      <x:c r="E99" s="10" t="str">
        <x:v>observed</x:v>
      </x:c>
      <x:c r="F99" s="10" t="str">
        <x:v>Remove direct heterogeneous inserts</x:v>
      </x:c>
      <x:c r="G99" s="10" t="str">
        <x:v>Calendar create/edit routes invoke event/task/staffing/hold/obligation commands with complete required context; partial placeholder rows cannot be created.</x:v>
      </x:c>
      <x:c r="H99" s="10" t="str">
        <x:v>ADM-WF-005; ADM-WF-016</x:v>
      </x:c>
      <x:c r="I99" s="10" t="str"/>
      <x:c r="J99" s="10" t="str">
        <x:v>Historical feature-spec progress ledger: done — Calendar POST → logistics/staffing commands; no placeholders</x:v>
      </x:c>
    </x:row>
    <x:row r="100" ht="42" customHeight="1">
      <x:c r="A100" s="10" t="str">
        <x:v>COMMS-101</x:v>
      </x:c>
      <x:c r="B100" s="11" t="n">
        <x:v>99</x:v>
      </x:c>
      <x:c r="C100" s="11" t="n">
        <x:v>1</x:v>
      </x:c>
      <x:c r="D100" s="10" t="str">
        <x:v>12</x:v>
      </x:c>
      <x:c r="E100" s="10" t="str">
        <x:v>observed</x:v>
      </x:c>
      <x:c r="F100" s="10" t="str">
        <x:v>Inventory notification/message paths</x:v>
      </x:c>
      <x:c r="G100" s="10" t="str">
        <x:v>Every in-app/email/SMS/push/Work Mode/chat path has source, audience, dedupe/retry behavior, privacy class, owner, and convergence plan.</x:v>
      </x:c>
      <x:c r="H100" s="10" t="str">
        <x:v>ADM-WF-011; ADM-WF-012</x:v>
      </x:c>
      <x:c r="I100" s="10" t="str"/>
      <x:c r="J100" s="10" t="str">
        <x:v>Historical feature-spec progress ledger: done — 42-path inventory + coverage tests</x:v>
      </x:c>
    </x:row>
    <x:row r="101" ht="42" customHeight="1">
      <x:c r="A101" s="10" t="str">
        <x:v>REP-101</x:v>
      </x:c>
      <x:c r="B101" s="11" t="n">
        <x:v>100</x:v>
      </x:c>
      <x:c r="C101" s="11" t="n">
        <x:v>1</x:v>
      </x:c>
      <x:c r="D101" s="10" t="str">
        <x:v>13</x:v>
      </x:c>
      <x:c r="E101" s="10" t="str">
        <x:v>observed</x:v>
      </x:c>
      <x:c r="F101" s="10" t="str">
        <x:v>Inventory reporting consumers</x:v>
      </x:c>
      <x:c r="G101" s="10" t="str">
        <x:v>Every dashboard/card/chart/export/query has source, formula, org filter, failure behavior, owner, canonical replacement and retirement plan.</x:v>
      </x:c>
      <x:c r="H101" s="10" t="str">
        <x:v>ADM-WF-017</x:v>
      </x:c>
      <x:c r="I101" s="10" t="str"/>
      <x:c r="J101" s="10" t="str">
        <x:v>Historical feature-spec progress ledger: done — ~55 consumers + zero-mock/org-hole tracking</x:v>
      </x:c>
    </x:row>
    <x:row r="102" ht="42" customHeight="1">
      <x:c r="A102" s="10" t="str">
        <x:v>SEC-201</x:v>
      </x:c>
      <x:c r="B102" s="11" t="n">
        <x:v>101</x:v>
      </x:c>
      <x:c r="C102" s="11" t="n">
        <x:v>2</x:v>
      </x:c>
      <x:c r="D102" s="10" t="str">
        <x:v>01</x:v>
      </x:c>
      <x:c r="E102" s="10" t="str">
        <x:v>observed</x:v>
      </x:c>
      <x:c r="F102" s="10" t="str">
        <x:v>Retire owner-only tour authorization</x:v>
      </x:c>
      <x:c r="G102" s="10" t="str">
        <x:v>Legacy routes delegate to canonical org/entity authorization; valid collaborators receive consistent behavior across every command-center tab.</x:v>
      </x:c>
      <x:c r="H102" s="10" t="str">
        <x:v>ADM-WF-001; ADM-WF-002</x:v>
      </x:c>
      <x:c r="I102" s="10" t="str"/>
      <x:c r="J102" s="10" t="str">
        <x:v>Historical feature-spec progress ledger: done — Legacy tours routes → assertAdminTourAccess; collaborator tests</x:v>
      </x:c>
    </x:row>
    <x:row r="103" ht="42" customHeight="1">
      <x:c r="A103" s="10" t="str">
        <x:v>SEC-202</x:v>
      </x:c>
      <x:c r="B103" s="11" t="n">
        <x:v>102</x:v>
      </x:c>
      <x:c r="C103" s="11" t="n">
        <x:v>2</x:v>
      </x:c>
      <x:c r="D103" s="10" t="str">
        <x:v>01</x:v>
      </x:c>
      <x:c r="E103" s="10" t="str">
        <x:v>observed</x:v>
      </x:c>
      <x:c r="F103" s="10" t="str">
        <x:v>Introduce state-aware authorization</x:v>
      </x:c>
      <x:c r="G103" s="10" t="str">
        <x:v>Published, active, settled, archived, and legally retained records enforce stronger actions and approval/separation-of-duties rules.</x:v>
      </x:c>
      <x:c r="H103" s="10" t="str">
        <x:v>ADM-WF-001; ADM-WF-002</x:v>
      </x:c>
      <x:c r="I103" s="10" t="str"/>
      <x:c r="J103" s="10" t="str">
        <x:v>Historical feature-spec progress ledger: done — state-aware auth + SoD on tour/event/finance mutations</x:v>
      </x:c>
    </x:row>
    <x:row r="104" ht="42" customHeight="1">
      <x:c r="A104" s="10" t="str">
        <x:v>SEC-203</x:v>
      </x:c>
      <x:c r="B104" s="11" t="n">
        <x:v>103</x:v>
      </x:c>
      <x:c r="C104" s="11" t="n">
        <x:v>2</x:v>
      </x:c>
      <x:c r="D104" s="10" t="str">
        <x:v>01</x:v>
      </x:c>
      <x:c r="E104" s="10" t="str">
        <x:v>observed</x:v>
      </x:c>
      <x:c r="F104" s="10" t="str">
        <x:v>Add field-level protected-data policy</x:v>
      </x:c>
      <x:c r="G104" s="10" t="str">
        <x:v>Traveler PII, accessibility/dietary data, financial details, contracts, credentials, and incidents expose only the minimum required fields by role/audience.</x:v>
      </x:c>
      <x:c r="H104" s="10" t="str">
        <x:v>ADM-WF-001; ADM-WF-002</x:v>
      </x:c>
      <x:c r="I104" s="10" t="str"/>
      <x:c r="J104" s="10" t="str">
        <x:v>Historical feature-spec progress ledger: done — protected-data policy + traveler projection + logistics.sensitive</x:v>
      </x:c>
    </x:row>
    <x:row r="105" ht="42" customHeight="1">
      <x:c r="A105" s="10" t="str">
        <x:v>SEC-204</x:v>
      </x:c>
      <x:c r="B105" s="11" t="n">
        <x:v>104</x:v>
      </x:c>
      <x:c r="C105" s="11" t="n">
        <x:v>2</x:v>
      </x:c>
      <x:c r="D105" s="10" t="str">
        <x:v>01</x:v>
      </x:c>
      <x:c r="E105" s="10" t="str">
        <x:v>observed</x:v>
      </x:c>
      <x:c r="F105" s="10" t="str">
        <x:v>Add delegated/external access model</x:v>
      </x:c>
      <x:c r="G105" s="10" t="str">
        <x:v>Venue/vendor/contractor links grant only named resources/actions, expire automatically, and cannot enumerate organization data.</x:v>
      </x:c>
      <x:c r="H105" s="10" t="str">
        <x:v>ADM-WF-001; ADM-WF-002</x:v>
      </x:c>
      <x:c r="I105" s="10" t="str"/>
      <x:c r="J105" s="10" t="str">
        <x:v>Historical feature-spec progress ledger: done — entity_grants + delegated access API + enumeration ban</x:v>
      </x:c>
    </x:row>
    <x:row r="106" ht="42" customHeight="1">
      <x:c r="A106" s="10" t="str">
        <x:v>SEC-205</x:v>
      </x:c>
      <x:c r="B106" s="11" t="n">
        <x:v>105</x:v>
      </x:c>
      <x:c r="C106" s="11" t="n">
        <x:v>2</x:v>
      </x:c>
      <x:c r="D106" s="10" t="str">
        <x:v>01</x:v>
      </x:c>
      <x:c r="E106" s="10" t="str">
        <x:v>observed</x:v>
      </x:c>
      <x:c r="F106" s="10" t="str">
        <x:v>Enforce capability-aware UI</x:v>
      </x:c>
      <x:c r="G106" s="10" t="str">
        <x:v>Navigation and controls reflect capability but never replace server enforcement; denied actions explain how to request access without revealing protected data.</x:v>
      </x:c>
      <x:c r="H106" s="10" t="str">
        <x:v>ADM-WF-001; ADM-WF-002</x:v>
      </x:c>
      <x:c r="I106" s="10" t="str"/>
      <x:c r="J106" s="10" t="str">
        <x:v>Historical feature-spec progress ledger: done — capability-aware nav + CapGate + effective-capabilities API</x:v>
      </x:c>
    </x:row>
    <x:row r="107" ht="42" customHeight="1">
      <x:c r="A107" s="10" t="str">
        <x:v>TOUR-201</x:v>
      </x:c>
      <x:c r="B107" s="11" t="n">
        <x:v>106</x:v>
      </x:c>
      <x:c r="C107" s="11" t="n">
        <x:v>2</x:v>
      </x:c>
      <x:c r="D107" s="10" t="str">
        <x:v>02</x:v>
      </x:c>
      <x:c r="E107" s="10" t="str">
        <x:v>observed</x:v>
      </x:c>
      <x:c r="F107" s="10" t="str">
        <x:v>Implement version-aware metadata edits</x:v>
      </x:c>
      <x:c r="G107" s="10" t="str">
        <x:v>expectedVersion` prevents silent overwrite; user sees conflicting fields and can reload or intentionally reapply changes.</x:v>
      </x:c>
      <x:c r="H107" s="10" t="str">
        <x:v>ADM-WF-005</x:v>
      </x:c>
      <x:c r="I107" s="10" t="str"/>
      <x:c r="J107" s="10" t="str">
        <x:v>Historical feature-spec progress ledger: done — metadata_version + expected_version conflict diff on tour PATCH</x:v>
      </x:c>
    </x:row>
    <x:row r="108" ht="42" customHeight="1">
      <x:c r="A108" s="10" t="str">
        <x:v>TOUR-202</x:v>
      </x:c>
      <x:c r="B108" s="11" t="n">
        <x:v>107</x:v>
      </x:c>
      <x:c r="C108" s="11" t="n">
        <x:v>2</x:v>
      </x:c>
      <x:c r="D108" s="10" t="str">
        <x:v>02</x:v>
      </x:c>
      <x:c r="E108" s="10" t="str">
        <x:v>observed</x:v>
      </x:c>
      <x:c r="F108" s="10" t="str">
        <x:v>Implement transition commands</x:v>
      </x:c>
      <x:c r="G108" s="10" t="str">
        <x:v>Status cannot be patched directly; commands enforce readiness/state/capability and write transaction + audit + outbox event.</x:v>
      </x:c>
      <x:c r="H108" s="10" t="str">
        <x:v>ADM-WF-005</x:v>
      </x:c>
      <x:c r="I108" s="10" t="str"/>
      <x:c r="J108" s="10" t="str">
        <x:v>Historical feature-spec progress ledger: done — transition commands API + outbox/audit; ban direct status PATCH</x:v>
      </x:c>
    </x:row>
    <x:row r="109" ht="42" customHeight="1">
      <x:c r="A109" s="10" t="str">
        <x:v>TOUR-203</x:v>
      </x:c>
      <x:c r="B109" s="11" t="n">
        <x:v>108</x:v>
      </x:c>
      <x:c r="C109" s="11" t="n">
        <x:v>2</x:v>
      </x:c>
      <x:c r="D109" s="10" t="str">
        <x:v>02</x:v>
      </x:c>
      <x:c r="E109" s="10" t="str">
        <x:v>observed</x:v>
      </x:c>
      <x:c r="F109" s="10" t="str">
        <x:v>Build command-center summary BFF</x:v>
      </x:c>
      <x:c r="G109" s="10" t="str">
        <x:v>One initial request returns identity, lifecycle, current/published versions, counts, risks, freshness, and domain access; p95 target is defined and measured.</x:v>
      </x:c>
      <x:c r="H109" s="10" t="str">
        <x:v>ADM-WF-005</x:v>
      </x:c>
      <x:c r="I109" s="10" t="str"/>
      <x:c r="J109" s="10" t="str">
        <x:v>Historical feature-spec progress ledger: done — summary BFF + p95=800ms; command-center uses 1-call load</x:v>
      </x:c>
    </x:row>
    <x:row r="110" ht="42" customHeight="1">
      <x:c r="A110" s="10" t="str">
        <x:v>TOUR-204</x:v>
      </x:c>
      <x:c r="B110" s="11" t="n">
        <x:v>109</x:v>
      </x:c>
      <x:c r="C110" s="11" t="n">
        <x:v>2</x:v>
      </x:c>
      <x:c r="D110" s="10" t="str">
        <x:v>02</x:v>
      </x:c>
      <x:c r="E110" s="10" t="str">
        <x:v>observed</x:v>
      </x:c>
      <x:c r="F110" s="10" t="str">
        <x:v>Split command-center route bundles</x:v>
      </x:c>
      <x:c r="G110" s="10" t="str">
        <x:v>Tabs load independently with stable typed contracts; opening overview does not download every editor or trigger duplicate calls.</x:v>
      </x:c>
      <x:c r="H110" s="10" t="str">
        <x:v>ADM-WF-005</x:v>
      </x:c>
      <x:c r="I110" s="10" t="str"/>
      <x:c r="J110" s="10" t="str">
        <x:v>Historical feature-spec progress ledger: done — Tab contracts + active-tab mounts; no overview editor/dupe fanout</x:v>
      </x:c>
    </x:row>
    <x:row r="111" ht="42" customHeight="1">
      <x:c r="A111" s="10" t="str">
        <x:v>TOUR-205</x:v>
      </x:c>
      <x:c r="B111" s="11" t="n">
        <x:v>110</x:v>
      </x:c>
      <x:c r="C111" s="11" t="n">
        <x:v>2</x:v>
      </x:c>
      <x:c r="D111" s="10" t="str">
        <x:v>02</x:v>
      </x:c>
      <x:c r="E111" s="10" t="str">
        <x:v>observed</x:v>
      </x:c>
      <x:c r="F111" s="10" t="str">
        <x:v>Create deep-duplicate preview</x:v>
      </x:c>
      <x:c r="G111" s="10" t="str">
        <x:v>User selects metadata, stops/events, team roles, vendors, templates, budgets, documents, logistics skeletons, and permissions; preview lists copies, links, exclusions, and conflicts.</x:v>
      </x:c>
      <x:c r="H111" s="10" t="str">
        <x:v>ADM-WF-005</x:v>
      </x:c>
      <x:c r="I111" s="10" t="str"/>
      <x:c r="J111" s="10" t="str">
        <x:v>Historical feature-spec progress ledger: done — duplicate-preview API + selectable dialog (copies/links/exclusions/conflicts)</x:v>
      </x:c>
    </x:row>
    <x:row r="112" ht="42" customHeight="1">
      <x:c r="A112" s="10" t="str">
        <x:v>TOUR-206</x:v>
      </x:c>
      <x:c r="B112" s="11" t="n">
        <x:v>111</x:v>
      </x:c>
      <x:c r="C112" s="11" t="n">
        <x:v>2</x:v>
      </x:c>
      <x:c r="D112" s="10" t="str">
        <x:v>02</x:v>
      </x:c>
      <x:c r="E112" s="10" t="str">
        <x:v>observed</x:v>
      </x:c>
      <x:c r="F112" s="10" t="str">
        <x:v>Execute idempotent duplication job</x:v>
      </x:c>
      <x:c r="G112" s="10" t="str">
        <x:v>Large copies run as a resumable job, preserve source IDs in audit metadata, generate new tokens/identities, and report per-domain completion/failure.</x:v>
      </x:c>
      <x:c r="H112" s="10" t="str">
        <x:v>ADM-WF-005</x:v>
      </x:c>
      <x:c r="I112" s="10" t="str"/>
      <x:c r="J112" s="10" t="str">
        <x:v>Historical feature-spec progress ledger: done — tour_duplicate_jobs + execute/resume APIs; per-domain status + id_map audit</x:v>
      </x:c>
    </x:row>
    <x:row r="113" ht="42" customHeight="1">
      <x:c r="A113" s="10" t="str">
        <x:v>TOUR-207</x:v>
      </x:c>
      <x:c r="B113" s="11" t="n">
        <x:v>112</x:v>
      </x:c>
      <x:c r="C113" s="11" t="n">
        <x:v>2</x:v>
      </x:c>
      <x:c r="D113" s="10" t="str">
        <x:v>02</x:v>
      </x:c>
      <x:c r="E113" s="10" t="str">
        <x:v>observed</x:v>
      </x:c>
      <x:c r="F113" s="10" t="str">
        <x:v>Implement archive/restore</x:v>
      </x:c>
      <x:c r="G113" s="10" t="str">
        <x:v>Impact preview identifies shares/jobs/upcoming work; archive makes tour read-only, revokes eligible shares, and preserves legal/financial records.</x:v>
      </x:c>
      <x:c r="H113" s="10" t="str">
        <x:v>ADM-WF-005</x:v>
      </x:c>
      <x:c r="I113" s="10" t="str"/>
      <x:c r="J113" s="10" t="str">
        <x:v>Historical feature-spec progress ledger: done — archive-preview + revoke shares on archive; restore to pre_archive_state</x:v>
      </x:c>
    </x:row>
    <x:row r="114" ht="42" customHeight="1">
      <x:c r="A114" s="10" t="str">
        <x:v>TOUR-208</x:v>
      </x:c>
      <x:c r="B114" s="11" t="n">
        <x:v>113</x:v>
      </x:c>
      <x:c r="C114" s="11" t="n">
        <x:v>2</x:v>
      </x:c>
      <x:c r="D114" s="10" t="str">
        <x:v>02</x:v>
      </x:c>
      <x:c r="E114" s="10" t="str">
        <x:v>observed</x:v>
      </x:c>
      <x:c r="F114" s="10" t="str">
        <x:v>Implement safe draft deletion</x:v>
      </x:c>
      <x:c r="G114" s="10" t="str">
        <x:v>Eligibility blocks deletion when published, ticketed, contracted, paid, staffed, or referenced; authorized deletion is transactional and audited.</x:v>
      </x:c>
      <x:c r="H114" s="10" t="str">
        <x:v>ADM-WF-005</x:v>
      </x:c>
      <x:c r="I114" s="10" t="str"/>
      <x:c r="J114" s="10" t="str">
        <x:v>Historical feature-spec progress ledger: done — delete-preview + eligibility blockers; audited hard delete detaches events</x:v>
      </x:c>
    </x:row>
    <x:row r="115" ht="42" customHeight="1">
      <x:c r="A115" s="10" t="str">
        <x:v>TOUR-209</x:v>
      </x:c>
      <x:c r="B115" s="11" t="n">
        <x:v>114</x:v>
      </x:c>
      <x:c r="C115" s="11" t="n">
        <x:v>2</x:v>
      </x:c>
      <x:c r="D115" s="10" t="str">
        <x:v>02</x:v>
      </x:c>
      <x:c r="E115" s="10" t="str">
        <x:v>observed</x:v>
      </x:c>
      <x:c r="F115" s="10" t="str">
        <x:v>Add tags, owners, and organization saved views</x:v>
      </x:c>
      <x:c r="G115" s="10" t="str">
        <x:v>Views store validated filters/columns, respect changing permissions, and cannot expose counts/names for unauthorized tours.</x:v>
      </x:c>
      <x:c r="H115" s="10" t="str">
        <x:v>ADM-WF-005</x:v>
      </x:c>
      <x:c r="I115" s="10" t="str"/>
      <x:c r="J115" s="10" t="str">
        <x:v>Historical feature-spec progress ledger: done — tags/owners/saved views + visibility-safe counts</x:v>
      </x:c>
    </x:row>
    <x:row r="116" ht="42" customHeight="1">
      <x:c r="A116" s="10" t="str">
        <x:v>TOUR-210</x:v>
      </x:c>
      <x:c r="B116" s="11" t="n">
        <x:v>115</x:v>
      </x:c>
      <x:c r="C116" s="11" t="n">
        <x:v>2</x:v>
      </x:c>
      <x:c r="D116" s="10" t="str">
        <x:v>02</x:v>
      </x:c>
      <x:c r="E116" s="10" t="str">
        <x:v>observed</x:v>
      </x:c>
      <x:c r="F116" s="10" t="str">
        <x:v>Add bulk command preview/execution</x:v>
      </x:c>
      <x:c r="G116" s="10" t="str">
        <x:v>Bulk operations show eligible/ineligible items before confirmation, require idempotency, and return item-level results without hiding partial failure.</x:v>
      </x:c>
      <x:c r="H116" s="10" t="str">
        <x:v>ADM-WF-005</x:v>
      </x:c>
      <x:c r="I116" s="10" t="str"/>
      <x:c r="J116" s="10" t="str">
        <x:v>Historical feature-spec progress ledger: done — bulk-preview + bulk execute; partialFailure item results</x:v>
      </x:c>
    </x:row>
    <x:row r="117" ht="42" customHeight="1">
      <x:c r="A117" s="10" t="str">
        <x:v>PLAN-201</x:v>
      </x:c>
      <x:c r="B117" s="11" t="n">
        <x:v>116</x:v>
      </x:c>
      <x:c r="C117" s="11" t="n">
        <x:v>2</x:v>
      </x:c>
      <x:c r="D117" s="10" t="str">
        <x:v>03</x:v>
      </x:c>
      <x:c r="E117" s="10" t="str">
        <x:v>observed</x:v>
      </x:c>
      <x:c r="F117" s="10" t="str">
        <x:v>Create `tour_versions` and `tour_stops`</x:v>
      </x:c>
      <x:c r="G117" s="10" t="str">
        <x:v>Backfill is deterministic; route/order data reconciles with `tour_events`; unresolved conflicts are quarantined and reviewed.</x:v>
      </x:c>
      <x:c r="H117" s="10" t="str">
        <x:v>ADM-WF-005</x:v>
      </x:c>
      <x:c r="I117" s="10" t="str"/>
      <x:c r="J117" s="10" t="str">
        <x:v>Historical feature-spec progress ledger: done — tour_versions/stops + deterministic backfill/quarantine</x:v>
      </x:c>
    </x:row>
    <x:row r="118" ht="42" customHeight="1">
      <x:c r="A118" s="10" t="str">
        <x:v>PLAN-202</x:v>
      </x:c>
      <x:c r="B118" s="11" t="n">
        <x:v>117</x:v>
      </x:c>
      <x:c r="C118" s="11" t="n">
        <x:v>2</x:v>
      </x:c>
      <x:c r="D118" s="10" t="str">
        <x:v>03</x:v>
      </x:c>
      <x:c r="E118" s="10" t="str">
        <x:v>observed</x:v>
      </x:c>
      <x:c r="F118" s="10" t="str">
        <x:v>Build stop editor</x:v>
      </x:c>
      <x:c r="G118" s="10" t="str">
        <x:v>Supports all stop types, local time zone, windows, venue relation/free-text draft, contacts, notes, status, and validation without raw IDs.</x:v>
      </x:c>
      <x:c r="H118" s="10" t="str">
        <x:v>ADM-WF-005</x:v>
      </x:c>
      <x:c r="I118" s="10" t="str"/>
      <x:c r="J118" s="10" t="str">
        <x:v>Historical feature-spec progress ledger: done — stop editor fields + schema (types/TZ/windows/contacts)</x:v>
      </x:c>
    </x:row>
    <x:row r="119" ht="42" customHeight="1">
      <x:c r="A119" s="10" t="str">
        <x:v>PLAN-203</x:v>
      </x:c>
      <x:c r="B119" s="11" t="n">
        <x:v>118</x:v>
      </x:c>
      <x:c r="C119" s="11" t="n">
        <x:v>2</x:v>
      </x:c>
      <x:c r="D119" s="10" t="str">
        <x:v>03</x:v>
      </x:c>
      <x:c r="E119" s="10" t="str">
        <x:v>observed</x:v>
      </x:c>
      <x:c r="F119" s="10" t="str">
        <x:v>Build reorder/timeline interaction</x:v>
      </x:c>
      <x:c r="G119" s="10" t="str">
        <x:v>Keyboard and pointer reorder update real ordinals; duplicate/missing ordinals are prevented by constraint/transaction and tested.</x:v>
      </x:c>
      <x:c r="H119" s="10" t="str">
        <x:v>ADM-WF-005</x:v>
      </x:c>
      <x:c r="I119" s="10" t="str"/>
      <x:c r="J119" s="10" t="str">
        <x:v>Historical feature-spec progress ledger: done — keyboard/pointer reorder + contiguous ordinals</x:v>
      </x:c>
    </x:row>
    <x:row r="120" ht="42" customHeight="1">
      <x:c r="A120" s="10" t="str">
        <x:v>PLAN-204</x:v>
      </x:c>
      <x:c r="B120" s="11" t="n">
        <x:v>119</x:v>
      </x:c>
      <x:c r="C120" s="11" t="n">
        <x:v>2</x:v>
      </x:c>
      <x:c r="D120" s="10" t="str">
        <x:v>03</x:v>
      </x:c>
      <x:c r="E120" s="10" t="str">
        <x:v>observed</x:v>
      </x:c>
      <x:c r="F120" s="10" t="str">
        <x:v>Implement stop protection rules</x:v>
      </x:c>
      <x:c r="G120" s="10" t="str">
        <x:v>Published, ticketed, contracted, staffed, or settled stops require impact workflow; errors list blocking records and authorized next action.</x:v>
      </x:c>
      <x:c r="H120" s="10" t="str">
        <x:v>ADM-WF-005</x:v>
      </x:c>
      <x:c r="I120" s="10" t="str"/>
      <x:c r="J120" s="10" t="str">
        <x:v>Historical feature-spec progress ledger: done — stop impact preview + blockers/next actions</x:v>
      </x:c>
    </x:row>
    <x:row r="121" ht="42" customHeight="1">
      <x:c r="A121" s="10" t="str">
        <x:v>PLAN-205</x:v>
      </x:c>
      <x:c r="B121" s="11" t="n">
        <x:v>120</x:v>
      </x:c>
      <x:c r="C121" s="11" t="n">
        <x:v>2</x:v>
      </x:c>
      <x:c r="D121" s="10" t="str">
        <x:v>03</x:v>
      </x:c>
      <x:c r="E121" s="10" t="str">
        <x:v>observed</x:v>
      </x:c>
      <x:c r="F121" s="10" t="str">
        <x:v>Implement holds/options</x:v>
      </x:c>
      <x:c r="G121" s="10" t="str">
        <x:v>Create/update/expire/confirm/release with reminders and history; competing holds and confirmation conversion are visible.</x:v>
      </x:c>
      <x:c r="H121" s="10" t="str">
        <x:v>ADM-WF-005</x:v>
      </x:c>
      <x:c r="I121" s="10" t="str"/>
      <x:c r="J121" s="10" t="str">
        <x:v>Historical feature-spec progress ledger: done — tour_stop_holds lifecycle + API</x:v>
      </x:c>
    </x:row>
    <x:row r="122" ht="42" customHeight="1">
      <x:c r="A122" s="10" t="str">
        <x:v>PLAN-206</x:v>
      </x:c>
      <x:c r="B122" s="11" t="n">
        <x:v>121</x:v>
      </x:c>
      <x:c r="C122" s="11" t="n">
        <x:v>2</x:v>
      </x:c>
      <x:c r="D122" s="10" t="str">
        <x:v>03</x:v>
      </x:c>
      <x:c r="E122" s="10" t="str">
        <x:v>observed</x:v>
      </x:c>
      <x:c r="F122" s="10" t="str">
        <x:v>Add server readiness engine</x:v>
      </x:c>
      <x:c r="G122" s="10" t="str">
        <x:v>Rules consume persisted normalized data and return stable IDs, severity, scope, evidence, remediation URL, and override policy.</x:v>
      </x:c>
      <x:c r="H122" s="10" t="str">
        <x:v>ADM-WF-005</x:v>
      </x:c>
      <x:c r="I122" s="10" t="str"/>
      <x:c r="J122" s="10" t="str">
        <x:v>Historical feature-spec progress ledger: done — persisted-plan readiness engine + API</x:v>
      </x:c>
    </x:row>
    <x:row r="123" ht="42" customHeight="1">
      <x:c r="A123" s="10" t="str">
        <x:v>PLAN-207</x:v>
      </x:c>
      <x:c r="B123" s="11" t="n">
        <x:v>122</x:v>
      </x:c>
      <x:c r="C123" s="11" t="n">
        <x:v>2</x:v>
      </x:c>
      <x:c r="D123" s="10" t="str">
        <x:v>03</x:v>
      </x:c>
      <x:c r="E123" s="10" t="str">
        <x:v>observed</x:v>
      </x:c>
      <x:c r="F123" s="10" t="str">
        <x:v>Add change sets and diff</x:v>
      </x:c>
      <x:c r="G123" s="10" t="str">
        <x:v>Post-publication edits generate categorized diffs and identify affected publications, people, bookings, schedules, tickets, vendors, and budgets.</x:v>
      </x:c>
      <x:c r="H123" s="10" t="str">
        <x:v>ADM-WF-005</x:v>
      </x:c>
      <x:c r="I123" s="10" t="str"/>
      <x:c r="J123" s="10" t="str">
        <x:v>Historical feature-spec progress ledger: done — categorized change sets / affected domains</x:v>
      </x:c>
    </x:row>
    <x:row r="124" ht="42" customHeight="1">
      <x:c r="A124" s="10" t="str">
        <x:v>PLAN-208</x:v>
      </x:c>
      <x:c r="B124" s="11" t="n">
        <x:v>123</x:v>
      </x:c>
      <x:c r="C124" s="11" t="n">
        <x:v>2</x:v>
      </x:c>
      <x:c r="D124" s="10" t="str">
        <x:v>03</x:v>
      </x:c>
      <x:c r="E124" s="10" t="str">
        <x:v>observed</x:v>
      </x:c>
      <x:c r="F124" s="10" t="str">
        <x:v>Add selectable deep-copy support</x:v>
      </x:c>
      <x:c r="G124" s="10" t="str">
        <x:v>Planner exposes which stops/holds/templates/settings are copied, linked, or excluded and validates dates/time zones for shifted schedules.</x:v>
      </x:c>
      <x:c r="H124" s="10" t="str">
        <x:v>ADM-WF-005</x:v>
      </x:c>
      <x:c r="I124" s="10" t="str"/>
      <x:c r="J124" s="10" t="str">
        <x:v>Historical feature-spec progress ledger: done — selectable planner deep-copy + date/TZ validation</x:v>
      </x:c>
    </x:row>
    <x:row r="125" ht="42" customHeight="1">
      <x:c r="A125" s="10" t="str">
        <x:v>PUB-201</x:v>
      </x:c>
      <x:c r="B125" s="11" t="n">
        <x:v>124</x:v>
      </x:c>
      <x:c r="C125" s="11" t="n">
        <x:v>2</x:v>
      </x:c>
      <x:c r="D125" s="10" t="str">
        <x:v>04</x:v>
      </x:c>
      <x:c r="E125" s="10" t="str">
        <x:v>observed</x:v>
      </x:c>
      <x:c r="F125" s="10" t="str">
        <x:v>Enforce server readiness in publish command</x:v>
      </x:c>
      <x:c r="G125" s="10" t="str">
        <x:v>Command reloads persisted plan, evaluates rules inside transaction, rejects blockers, records authorized warning overrides, and cannot be bypassed by command-center UI.</x:v>
      </x:c>
      <x:c r="H125" s="10" t="str">
        <x:v>ADM-WF-004; ADM-WF-012</x:v>
      </x:c>
      <x:c r="I125" s="10" t="str"/>
      <x:c r="J125" s="10" t="str">
        <x:v>Historical feature-spec progress ledger: done — publish uses persisted readiness + warning overrides</x:v>
      </x:c>
    </x:row>
    <x:row r="126" ht="42" customHeight="1">
      <x:c r="A126" s="10" t="str">
        <x:v>PUB-202</x:v>
      </x:c>
      <x:c r="B126" s="11" t="n">
        <x:v>125</x:v>
      </x:c>
      <x:c r="C126" s="11" t="n">
        <x:v>2</x:v>
      </x:c>
      <x:c r="D126" s="10" t="str">
        <x:v>04</x:v>
      </x:c>
      <x:c r="E126" s="10" t="str">
        <x:v>observed</x:v>
      </x:c>
      <x:c r="F126" s="10" t="str">
        <x:v>Build snapshot renderer</x:v>
      </x:c>
      <x:c r="G126" s="10" t="str">
        <x:v>Same source version always generates equivalent manifest/checksum; missing section fails or is explicitly excluded rather than silently omitted.</x:v>
      </x:c>
      <x:c r="H126" s="10" t="str">
        <x:v>ADM-WF-004; ADM-WF-012</x:v>
      </x:c>
      <x:c r="I126" s="10" t="str"/>
      <x:c r="J126" s="10" t="str">
        <x:v>Historical feature-spec progress ledger: done — deterministic snapshot renderer + checksum</x:v>
      </x:c>
    </x:row>
    <x:row r="127" ht="42" customHeight="1">
      <x:c r="A127" s="10" t="str">
        <x:v>PUB-203</x:v>
      </x:c>
      <x:c r="B127" s="11" t="n">
        <x:v>126</x:v>
      </x:c>
      <x:c r="C127" s="11" t="n">
        <x:v>2</x:v>
      </x:c>
      <x:c r="D127" s="10" t="str">
        <x:v>04</x:v>
      </x:c>
      <x:c r="E127" s="10" t="str">
        <x:v>observed</x:v>
      </x:c>
      <x:c r="F127" s="10" t="str">
        <x:v>Build audience preview</x:v>
      </x:c>
      <x:c r="G127" s="10" t="str">
        <x:v>Recipient resolution shows count, role/source, excluded recipients and reason, protected fields, and channel availability before confirmation.</x:v>
      </x:c>
      <x:c r="H127" s="10" t="str">
        <x:v>ADM-WF-004; ADM-WF-012</x:v>
      </x:c>
      <x:c r="I127" s="10" t="str"/>
      <x:c r="J127" s="10" t="str">
        <x:v>Historical feature-spec progress ledger: done — audience preview (counts/roles/exclusions/channels)</x:v>
      </x:c>
    </x:row>
    <x:row r="128" ht="42" customHeight="1">
      <x:c r="A128" s="10" t="str">
        <x:v>PUB-204</x:v>
      </x:c>
      <x:c r="B128" s="11" t="n">
        <x:v>127</x:v>
      </x:c>
      <x:c r="C128" s="11" t="n">
        <x:v>2</x:v>
      </x:c>
      <x:c r="D128" s="10" t="str">
        <x:v>04</x:v>
      </x:c>
      <x:c r="E128" s="10" t="str">
        <x:v>observed</x:v>
      </x:c>
      <x:c r="F128" s="10" t="str">
        <x:v>Implement transactional publish</x:v>
      </x:c>
      <x:c r="G128" s="10" t="str">
        <x:v>Snapshot, audience, deliveries, lifecycle transition, audit, and outbox commit together; duplicate idempotency key returns original publication.</x:v>
      </x:c>
      <x:c r="H128" s="10" t="str">
        <x:v>ADM-WF-004; ADM-WF-012</x:v>
      </x:c>
      <x:c r="I128" s="10" t="str"/>
      <x:c r="J128" s="10" t="str">
        <x:v>Historical feature-spec progress ledger: done — atomic snapshot+audience+deliveries+lifecycle+outbox; idempotent replay</x:v>
      </x:c>
    </x:row>
    <x:row r="129" ht="42" customHeight="1">
      <x:c r="A129" s="10" t="str">
        <x:v>PUB-205</x:v>
      </x:c>
      <x:c r="B129" s="11" t="n">
        <x:v>128</x:v>
      </x:c>
      <x:c r="C129" s="11" t="n">
        <x:v>2</x:v>
      </x:c>
      <x:c r="D129" s="10" t="str">
        <x:v>04</x:v>
      </x:c>
      <x:c r="E129" s="10" t="str">
        <x:v>observed</x:v>
      </x:c>
      <x:c r="F129" s="10" t="str">
        <x:v>Implement delivery dashboard</x:v>
      </x:c>
      <x:c r="G129" s="10" t="str">
        <x:v>Managers see queued/delivered/opened/acknowledged/failed by channel/recipient, retry safe failures, and export authorized delivery evidence.</x:v>
      </x:c>
      <x:c r="H129" s="10" t="str">
        <x:v>ADM-WF-004; ADM-WF-012</x:v>
      </x:c>
      <x:c r="I129" s="10" t="str"/>
      <x:c r="J129" s="10" t="str">
        <x:v>Historical feature-spec progress ledger: done — delivery dashboard + safe retry + evidence export</x:v>
      </x:c>
    </x:row>
    <x:row r="130" ht="42" customHeight="1">
      <x:c r="A130" s="10" t="str">
        <x:v>PUB-206</x:v>
      </x:c>
      <x:c r="B130" s="11" t="n">
        <x:v>129</x:v>
      </x:c>
      <x:c r="C130" s="11" t="n">
        <x:v>2</x:v>
      </x:c>
      <x:c r="D130" s="10" t="str">
        <x:v>04</x:v>
      </x:c>
      <x:c r="E130" s="10" t="str">
        <x:v>observed</x:v>
      </x:c>
      <x:c r="F130" s="10" t="str">
        <x:v>Implement secure share links</x:v>
      </x:c>
      <x:c r="G130" s="10" t="str">
        <x:v>Token is high entropy and hashed at rest; scope, expiry, optional passcode, download permission, max-use/revocation, and access logging are enforced.</x:v>
      </x:c>
      <x:c r="H130" s="10" t="str">
        <x:v>ADM-WF-004; ADM-WF-012</x:v>
      </x:c>
      <x:c r="I130" s="10" t="str"/>
      <x:c r="J130" s="10" t="str">
        <x:v>Historical feature-spec progress ledger: done — hashed tokens, scope/expiry/passcode/max-use/revoke + access logs</x:v>
      </x:c>
    </x:row>
    <x:row r="131" ht="42" customHeight="1">
      <x:c r="A131" s="10" t="str">
        <x:v>PUB-207</x:v>
      </x:c>
      <x:c r="B131" s="11" t="n">
        <x:v>130</x:v>
      </x:c>
      <x:c r="C131" s="11" t="n">
        <x:v>2</x:v>
      </x:c>
      <x:c r="D131" s="10" t="str">
        <x:v>04</x:v>
      </x:c>
      <x:c r="E131" s="10" t="str">
        <x:v>observed</x:v>
      </x:c>
      <x:c r="F131" s="10" t="str">
        <x:v>Implement retract/supersede</x:v>
      </x:c>
      <x:c r="G131" s="10" t="str">
        <x:v>Access reflects current state immediately; recipients receive correction/retraction; old versions remain in authorized audit/history.</x:v>
      </x:c>
      <x:c r="H131" s="10" t="str">
        <x:v>ADM-WF-004; ADM-WF-012</x:v>
      </x:c>
      <x:c r="I131" s="10" t="str"/>
      <x:c r="J131" s="10" t="str">
        <x:v>Historical feature-spec progress ledger: done — retract/supersede + access invalidate + history notices</x:v>
      </x:c>
    </x:row>
    <x:row r="132" ht="42" customHeight="1">
      <x:c r="A132" s="10" t="str">
        <x:v>PUB-208</x:v>
      </x:c>
      <x:c r="B132" s="11" t="n">
        <x:v>131</x:v>
      </x:c>
      <x:c r="C132" s="11" t="n">
        <x:v>2</x:v>
      </x:c>
      <x:c r="D132" s="10" t="str">
        <x:v>04</x:v>
      </x:c>
      <x:c r="E132" s="10" t="str">
        <x:v>observed</x:v>
      </x:c>
      <x:c r="F132" s="10" t="str">
        <x:v>Replace private URL copy</x:v>
      </x:c>
      <x:c r="G132" s="10" t="str">
        <x:v>Tour, event, advance, map, and day-sheet sharing invoke the scoped share/publication service with no misleading Admin URL action.</x:v>
      </x:c>
      <x:c r="H132" s="10" t="str">
        <x:v>ADM-WF-004; ADM-WF-012</x:v>
      </x:c>
      <x:c r="I132" s="10" t="str"/>
      <x:c r="J132" s="10" t="str">
        <x:v>Historical feature-spec progress ledger: done — tour/event/day-sheet/advance/map use scoped shares; no Admin URL copy</x:v>
      </x:c>
    </x:row>
    <x:row r="133" ht="42" customHeight="1">
      <x:c r="A133" s="10" t="str">
        <x:v>EVENT-201</x:v>
      </x:c>
      <x:c r="B133" s="11" t="n">
        <x:v>132</x:v>
      </x:c>
      <x:c r="C133" s="11" t="n">
        <x:v>2</x:v>
      </x:c>
      <x:c r="D133" s="10" t="str">
        <x:v>05</x:v>
      </x:c>
      <x:c r="E133" s="10" t="str">
        <x:v>observed</x:v>
      </x:c>
      <x:c r="F133" s="10" t="str">
        <x:v>Unify readiness rules</x:v>
      </x:c>
      <x:c r="G133" s="10" t="str">
        <x:v>Event readiness has stable rule IDs/severity/evidence/remediation and is used by builder, command center, and server publication.</x:v>
      </x:c>
      <x:c r="H133" s="10" t="str">
        <x:v>ADM-WF-004</x:v>
      </x:c>
      <x:c r="I133" s="10" t="str"/>
      <x:c r="J133" s="10" t="str">
        <x:v>Historical feature-spec progress ledger: done — contract IDs + engine + publish gate + readiness API</x:v>
      </x:c>
    </x:row>
    <x:row r="134" ht="42" customHeight="1">
      <x:c r="A134" s="10" t="str">
        <x:v>EVENT-202</x:v>
      </x:c>
      <x:c r="B134" s="11" t="n">
        <x:v>133</x:v>
      </x:c>
      <x:c r="C134" s="11" t="n">
        <x:v>2</x:v>
      </x:c>
      <x:c r="D134" s="10" t="str">
        <x:v>05</x:v>
      </x:c>
      <x:c r="E134" s="10" t="str">
        <x:v>observed</x:v>
      </x:c>
      <x:c r="F134" s="10" t="str">
        <x:v>Add event setup completeness view</x:v>
      </x:c>
      <x:c r="G134" s="10" t="str">
        <x:v>Each required domain shows not started/in progress/blocked/ready with owner and direct action; dependency failure is shown as unknown.</x:v>
      </x:c>
      <x:c r="H134" s="10" t="str">
        <x:v>ADM-WF-004</x:v>
      </x:c>
      <x:c r="I134" s="10" t="str"/>
      <x:c r="J134" s="10" t="str">
        <x:v>Historical feature-spec progress ledger: done — owners + direct actions; blocked/unknown deps</x:v>
      </x:c>
    </x:row>
    <x:row r="135" ht="42" customHeight="1">
      <x:c r="A135" s="10" t="str">
        <x:v>REP-201</x:v>
      </x:c>
      <x:c r="B135" s="11" t="n">
        <x:v>134</x:v>
      </x:c>
      <x:c r="C135" s="11" t="n">
        <x:v>2</x:v>
      </x:c>
      <x:c r="D135" s="10" t="str">
        <x:v>13</x:v>
      </x:c>
      <x:c r="E135" s="10" t="str">
        <x:v>observed</x:v>
      </x:c>
      <x:c r="F135" s="10" t="str">
        <x:v>Build command-center summary contract</x:v>
      </x:c>
      <x:c r="G135" s="10" t="str">
        <x:v>Identity/version/lifecycle/access, domain counts/risks/freshness/degraded states and direct remediation links are typed and contract-tested.</x:v>
      </x:c>
      <x:c r="H135" s="10" t="str">
        <x:v>ADM-WF-017</x:v>
      </x:c>
      <x:c r="I135" s="10" t="str"/>
      <x:c r="J135" s="10" t="str">
        <x:v>Historical feature-spec progress ledger: done — Zod contract v1 + domainMetrics + remediation links</x:v>
      </x:c>
    </x:row>
    <x:row r="136" ht="42" customHeight="1">
      <x:c r="A136" s="10" t="str">
        <x:v>REP-202</x:v>
      </x:c>
      <x:c r="B136" s="11" t="n">
        <x:v>135</x:v>
      </x:c>
      <x:c r="C136" s="11" t="n">
        <x:v>2</x:v>
      </x:c>
      <x:c r="D136" s="10" t="str">
        <x:v>13</x:v>
      </x:c>
      <x:c r="E136" s="10" t="str">
        <x:v>observed</x:v>
      </x:c>
      <x:c r="F136" s="10" t="str">
        <x:v>Implement event-driven read-model updates</x:v>
      </x:c>
      <x:c r="G136" s="10" t="str">
        <x:v>Domain/outbox events update idempotently; per-source watermarks, replay/rebuild, lag and reconciliation are available.</x:v>
      </x:c>
      <x:c r="H136" s="10" t="str">
        <x:v>ADM-WF-017</x:v>
      </x:c>
      <x:c r="I136" s="10" t="str"/>
      <x:c r="J136" s="10" t="str">
        <x:v>Historical feature-spec progress ledger: done — projection tables + outbox apply + lag/rebuild/replay</x:v>
      </x:c>
    </x:row>
    <x:row r="137" ht="42" customHeight="1">
      <x:c r="A137" s="10" t="str">
        <x:v>REP-203</x:v>
      </x:c>
      <x:c r="B137" s="11" t="n">
        <x:v>136</x:v>
      </x:c>
      <x:c r="C137" s="11" t="n">
        <x:v>2</x:v>
      </x:c>
      <x:c r="D137" s="10" t="str">
        <x:v>13</x:v>
      </x:c>
      <x:c r="E137" s="10" t="str">
        <x:v>observed</x:v>
      </x:c>
      <x:c r="F137" s="10" t="str">
        <x:v>Add protected aggregate policy</x:v>
      </x:c>
      <x:c r="G137" s="10" t="str">
        <x:v>Finance/personnel/ticket/customer/incident metrics require capability and suppress unauthorized dimensions/drilldowns without inference leaks.</x:v>
      </x:c>
      <x:c r="H137" s="10" t="str">
        <x:v>ADM-WF-017</x:v>
      </x:c>
      <x:c r="I137" s="10" t="str"/>
      <x:c r="J137" s="10" t="str">
        <x:v>Historical feature-spec progress ledger: done — protected aggregates; null deny; dimension redaction</x:v>
      </x:c>
    </x:row>
    <x:row r="138" ht="42" customHeight="1">
      <x:c r="A138" s="10" t="str">
        <x:v>REL-201</x:v>
      </x:c>
      <x:c r="B138" s="11" t="n">
        <x:v>137</x:v>
      </x:c>
      <x:c r="C138" s="11" t="n">
        <x:v>2</x:v>
      </x:c>
      <x:c r="D138" s="10" t="str">
        <x:v>14</x:v>
      </x:c>
      <x:c r="E138" s="10" t="str">
        <x:v>observed</x:v>
      </x:c>
      <x:c r="F138" s="10" t="str">
        <x:v>Add transaction/outbox fault tests</x:v>
      </x:c>
      <x:c r="G138" s="10" t="str">
        <x:v>Inject failure before/after commit and during retry; no partial false success, lost message, duplicate side effect or inaccessible recovery state.</x:v>
      </x:c>
      <x:c r="H138" s="10" t="str">
        <x:v>ADM-WF-017</x:v>
      </x:c>
      <x:c r="I138" s="10" t="str"/>
      <x:c r="J138" s="10" t="str">
        <x:v>Historical feature-spec progress ledger: done — Pure fault injection sim + 18 tests; pre/post-commit/retry/DLQ/replay/idempotent</x:v>
      </x:c>
    </x:row>
    <x:row r="139" ht="42" customHeight="1">
      <x:c r="A139" s="10" t="str">
        <x:v>REL-202</x:v>
      </x:c>
      <x:c r="B139" s="11" t="n">
        <x:v>138</x:v>
      </x:c>
      <x:c r="C139" s="11" t="n">
        <x:v>2</x:v>
      </x:c>
      <x:c r="D139" s="10" t="str">
        <x:v>14</x:v>
      </x:c>
      <x:c r="E139" s="10" t="str">
        <x:v>observed</x:v>
      </x:c>
      <x:c r="F139" s="10" t="str">
        <x:v>Add concurrency/idempotency suite</x:v>
      </x:c>
      <x:c r="G139" s="10" t="str">
        <x:v>Autosave, reorder, publish, bulk assignment, inventory, scan, finance posting and provider webhooks behave deterministically under duplicate/racing requests.</x:v>
      </x:c>
      <x:c r="H139" s="10" t="str">
        <x:v>ADM-WF-017</x:v>
      </x:c>
      <x:c r="I139" s="10" t="str"/>
      <x:c r="J139" s="10" t="str">
        <x:v>Historical feature-spec progress ledger: done — Pure concurrency/idempotency sim + 37 tests; autosave/reorder/publish/bulk/inventory/scan/finance/webhook</x:v>
      </x:c>
    </x:row>
    <x:row r="140" ht="42" customHeight="1">
      <x:c r="A140" s="10" t="str">
        <x:v>ROUTE-301</x:v>
      </x:c>
      <x:c r="B140" s="11" t="n">
        <x:v>139</x:v>
      </x:c>
      <x:c r="C140" s="11" t="n">
        <x:v>3</x:v>
      </x:c>
      <x:c r="D140" s="10" t="str">
        <x:v>03</x:v>
      </x:c>
      <x:c r="E140" s="10" t="str">
        <x:v>observed</x:v>
      </x:c>
      <x:c r="F140" s="10" t="str">
        <x:v>Create normalized route legs</x:v>
      </x:c>
      <x:c r="G140" s="10" t="str">
        <x:v>Legs regenerate deterministically from stop ordering while preserving approved overrides/linked bookings; constraints prevent orphan legs.</x:v>
      </x:c>
      <x:c r="H140" s="10" t="str">
        <x:v>ADM-WF-005; ADM-WF-013</x:v>
      </x:c>
      <x:c r="I140" s="10" t="str"/>
      <x:c r="J140" s="10" t="str">
        <x:v>Historical feature-spec progress ledger: done — Schema (migration) + pure helper + service + 28 tests; FK CASCADE prevents orphans</x:v>
      </x:c>
    </x:row>
    <x:row r="141" ht="42" customHeight="1">
      <x:c r="A141" s="10" t="str">
        <x:v>ROUTE-302</x:v>
      </x:c>
      <x:c r="B141" s="11" t="n">
        <x:v>140</x:v>
      </x:c>
      <x:c r="C141" s="11" t="n">
        <x:v>3</x:v>
      </x:c>
      <x:c r="D141" s="10" t="str">
        <x:v>03</x:v>
      </x:c>
      <x:c r="E141" s="10" t="str">
        <x:v>observed</x:v>
      </x:c>
      <x:c r="F141" s="10" t="str">
        <x:v>Implement provider abstraction</x:v>
      </x:c>
      <x:c r="G141" s="10" t="str">
        <x:v>Distance/duration calculation supports one provider plus manual fallback; requests are cached, rate-limited, observable, and provider-neutral.</x:v>
      </x:c>
      <x:c r="H141" s="10" t="str">
        <x:v>ADM-WF-005; ADM-WF-013</x:v>
      </x:c>
      <x:c r="I141" s="10" t="str"/>
      <x:c r="J141" s="10" t="str">
        <x:v>Historical feature-spec progress ledger: done — Provider registry + cache + rate-limit + telemetry; 24 tests</x:v>
      </x:c>
    </x:row>
    <x:row r="142" ht="42" customHeight="1">
      <x:c r="A142" s="10" t="str">
        <x:v>ROUTE-303</x:v>
      </x:c>
      <x:c r="B142" s="11" t="n">
        <x:v>141</x:v>
      </x:c>
      <x:c r="C142" s="11" t="n">
        <x:v>3</x:v>
      </x:c>
      <x:c r="D142" s="10" t="str">
        <x:v>03</x:v>
      </x:c>
      <x:c r="E142" s="10" t="str">
        <x:v>observed</x:v>
      </x:c>
      <x:c r="F142" s="10" t="str">
        <x:v>Add time-zone and DST handling</x:v>
      </x:c>
      <x:c r="G142" s="10" t="str">
        <x:v>Times store UTC plus location zone; UI shows local zones; DST transition tests and ambiguous/nonexistent local-time UX are complete.</x:v>
      </x:c>
      <x:c r="H142" s="10" t="str">
        <x:v>ADM-WF-005; ADM-WF-013</x:v>
      </x:c>
      <x:c r="I142" s="10" t="str"/>
      <x:c r="J142" s="10" t="str">
        <x:v>Historical feature-spec progress ledger: done — UTC+IANA zone model; DST gap/fold detection; 34 tests</x:v>
      </x:c>
    </x:row>
    <x:row r="143" ht="42" customHeight="1">
      <x:c r="A143" s="10" t="str">
        <x:v>ROUTE-304</x:v>
      </x:c>
      <x:c r="B143" s="11" t="n">
        <x:v>142</x:v>
      </x:c>
      <x:c r="C143" s="11" t="n">
        <x:v>3</x:v>
      </x:c>
      <x:c r="D143" s="10" t="str">
        <x:v>03</x:v>
      </x:c>
      <x:c r="E143" s="10" t="str">
        <x:v>observed</x:v>
      </x:c>
      <x:c r="F143" s="10" t="str">
        <x:v>Add route constraint engine</x:v>
      </x:c>
      <x:c r="G143" s="10" t="str">
        <x:v>Detect same-day overlaps, insufficient travel/buffer/rest, excessive drive, curfew conflict, border/ferry risk, missing location, and impossible arrival.</x:v>
      </x:c>
      <x:c r="H143" s="10" t="str">
        <x:v>ADM-WF-005; ADM-WF-013</x:v>
      </x:c>
      <x:c r="I143" s="10" t="str"/>
      <x:c r="J143" s="10" t="str">
        <x:v>Historical feature-spec progress ledger: done — 8 constraint checkers + engine; 40 tests; pure; uses ROUTE-301/303 helpers</x:v>
      </x:c>
    </x:row>
    <x:row r="144" ht="42" customHeight="1">
      <x:c r="A144" s="10" t="str">
        <x:v>ROUTE-305</x:v>
      </x:c>
      <x:c r="B144" s="11" t="n">
        <x:v>143</x:v>
      </x:c>
      <x:c r="C144" s="11" t="n">
        <x:v>3</x:v>
      </x:c>
      <x:c r="D144" s="10" t="str">
        <x:v>03</x:v>
      </x:c>
      <x:c r="E144" s="10" t="str">
        <x:v>observed</x:v>
      </x:c>
      <x:c r="F144" s="10" t="str">
        <x:v>Add driver/rest policy profiles</x:v>
      </x:c>
      <x:c r="G144" s="10" t="str">
        <x:v>Organization selects policy template and may override with reason/capability; engine reports assumptions rather than presenting legal advice as certainty.</x:v>
      </x:c>
      <x:c r="H144" s="10" t="str">
        <x:v>ADM-WF-005; ADM-WF-013</x:v>
      </x:c>
      <x:c r="I144" s="10" t="str"/>
      <x:c r="J144" s="10" t="str">
        <x:v>Historical feature-spec progress ledger: done — 5 templates + org overrides + assumption disclosure; 26 tests</x:v>
      </x:c>
    </x:row>
    <x:row r="145" ht="42" customHeight="1">
      <x:c r="A145" s="10" t="str">
        <x:v>ROUTE-306</x:v>
      </x:c>
      <x:c r="B145" s="11" t="n">
        <x:v>144</x:v>
      </x:c>
      <x:c r="C145" s="11" t="n">
        <x:v>3</x:v>
      </x:c>
      <x:c r="D145" s="10" t="str">
        <x:v>03</x:v>
      </x:c>
      <x:c r="E145" s="10" t="str">
        <x:v>observed</x:v>
      </x:c>
      <x:c r="F145" s="10" t="str">
        <x:v>Add travel/rest-day generation</x:v>
      </x:c>
      <x:c r="G145" s="10" t="str">
        <x:v>User can insert suggested travel/rest days; adoption is explicit and creates versioned stops/legs.</x:v>
      </x:c>
      <x:c r="H145" s="10" t="str">
        <x:v>ADM-WF-005; ADM-WF-013</x:v>
      </x:c>
      <x:c r="I145" s="10" t="str"/>
      <x:c r="J145" s="10" t="str">
        <x:v>Historical feature-spec progress ledger: done — Suggestion engine + explicit adoption + ordinal reorder; 23 tests</x:v>
      </x:c>
    </x:row>
    <x:row r="146" ht="42" customHeight="1">
      <x:c r="A146" s="10" t="str">
        <x:v>ROUTE-307</x:v>
      </x:c>
      <x:c r="B146" s="11" t="n">
        <x:v>145</x:v>
      </x:c>
      <x:c r="C146" s="11" t="n">
        <x:v>3</x:v>
      </x:c>
      <x:c r="D146" s="10" t="str">
        <x:v>03</x:v>
      </x:c>
      <x:c r="E146" s="10" t="str">
        <x:v>observed</x:v>
      </x:c>
      <x:c r="F146" s="10" t="str">
        <x:v>Build scenario workspace</x:v>
      </x:c>
      <x:c r="G146" s="10" t="str">
        <x:v>Branch draft scenarios, compare distance/time/cost/risk/date conflicts, name/share internally, and adopt selected scenario with impact preview.</x:v>
      </x:c>
      <x:c r="H146" s="10" t="str">
        <x:v>ADM-WF-005; ADM-WF-013</x:v>
      </x:c>
      <x:c r="I146" s="10" t="str"/>
      <x:c r="J146" s="10" t="str">
        <x:v>Historical feature-spec progress ledger: done — Scenario workspace: branch/compare/metrics/adopt/share/revoke/archive/rename; 46 tests</x:v>
      </x:c>
    </x:row>
    <x:row r="147" ht="42" customHeight="1">
      <x:c r="A147" s="10" t="str">
        <x:v>ROUTE-308</x:v>
      </x:c>
      <x:c r="B147" s="11" t="n">
        <x:v>146</x:v>
      </x:c>
      <x:c r="C147" s="11" t="n">
        <x:v>3</x:v>
      </x:c>
      <x:c r="D147" s="10" t="str">
        <x:v>03</x:v>
      </x:c>
      <x:c r="E147" s="10" t="str">
        <x:v>observed</x:v>
      </x:c>
      <x:c r="F147" s="10" t="str">
        <x:v>Add route visualization</x:v>
      </x:c>
      <x:c r="G147" s="10" t="str">
        <x:v>Map/timeline clearly distinguish confirmed, held, tentative, travel, and conflict states; accessible list provides equivalent information.</x:v>
      </x:c>
      <x:c r="H147" s="10" t="str">
        <x:v>ADM-WF-005; ADM-WF-013</x:v>
      </x:c>
      <x:c r="I147" s="10" t="str"/>
      <x:c r="J147" s="10" t="str">
        <x:v>Historical feature-spec progress ledger: done — Viz data model: 5 stop states + 3 leg states + accessible list + legend; 31 tests</x:v>
      </x:c>
    </x:row>
    <x:row r="148" ht="42" customHeight="1">
      <x:c r="A148" s="10" t="str">
        <x:v>ROUTE-309</x:v>
      </x:c>
      <x:c r="B148" s="11" t="n">
        <x:v>147</x:v>
      </x:c>
      <x:c r="C148" s="11" t="n">
        <x:v>3</x:v>
      </x:c>
      <x:c r="D148" s="10" t="str">
        <x:v>03</x:v>
      </x:c>
      <x:c r="E148" s="10" t="str">
        <x:v>observed</x:v>
      </x:c>
      <x:c r="F148" s="10" t="str">
        <x:v>Connect route legs to logistics</x:v>
      </x:c>
      <x:c r="G148" s="10" t="str">
        <x:v>Each travel segment, vehicle movement, room night, equipment move, and passenger assignment references canonical stop/leg context.</x:v>
      </x:c>
      <x:c r="H148" s="10" t="str">
        <x:v>ADM-WF-005; ADM-WF-013</x:v>
      </x:c>
      <x:c r="I148" s="10" t="str"/>
      <x:c r="J148" s="10" t="str">
        <x:v>Historical feature-spec progress ledger: done — RouteLegContext + 5 logistics ref types + bundle consistency check; 27 tests</x:v>
      </x:c>
    </x:row>
    <x:row r="149" ht="42" customHeight="1">
      <x:c r="A149" s="10" t="str">
        <x:v>TOUR-301</x:v>
      </x:c>
      <x:c r="B149" s="11" t="n">
        <x:v>148</x:v>
      </x:c>
      <x:c r="C149" s="11" t="n">
        <x:v>3</x:v>
      </x:c>
      <x:c r="D149" s="10" t="str">
        <x:v>02</x:v>
      </x:c>
      <x:c r="E149" s="10" t="str">
        <x:v>observed</x:v>
      </x:c>
      <x:c r="F149" s="10" t="str">
        <x:v>Define health/risk aggregation</x:v>
      </x:c>
      <x:c r="G149" s="10" t="str">
        <x:v>Each signal has source, severity, threshold, owner, freshness, and remediation URL; unknown/dependency failure is not scored as healthy.</x:v>
      </x:c>
      <x:c r="H149" s="10" t="str">
        <x:v>ADM-WF-005</x:v>
      </x:c>
      <x:c r="I149" s="10" t="str"/>
      <x:c r="J149" s="10" t="str">
        <x:v>Historical feature-spec progress ledger: done — TourHealthSignal + aggregation engine + threshold eval + freshness; 36 tests</x:v>
      </x:c>
    </x:row>
    <x:row r="150" ht="42" customHeight="1">
      <x:c r="A150" s="10" t="str">
        <x:v>TOUR-302</x:v>
      </x:c>
      <x:c r="B150" s="11" t="n">
        <x:v>149</x:v>
      </x:c>
      <x:c r="C150" s="11" t="n">
        <x:v>3</x:v>
      </x:c>
      <x:c r="D150" s="10" t="str">
        <x:v>02</x:v>
      </x:c>
      <x:c r="E150" s="10" t="str">
        <x:v>observed</x:v>
      </x:c>
      <x:c r="F150" s="10" t="str">
        <x:v>Integrate route/logistics health</x:v>
      </x:c>
      <x:c r="G150" s="10" t="str">
        <x:v>Conflicts, missing segments/rooms/seats/equipment/meals, and unresolved traveler data roll into summary.</x:v>
      </x:c>
      <x:c r="H150" s="10" t="str">
        <x:v>ADM-WF-005</x:v>
      </x:c>
      <x:c r="I150" s="10" t="str"/>
      <x:c r="J150" s="10" t="str">
        <x:v>Historical feature-spec progress ledger: done — 9 route/logistics health signals + deriveFrom helpers + summary integration; 29 tests</x:v>
      </x:c>
    </x:row>
    <x:row r="151" ht="42" customHeight="1">
      <x:c r="A151" s="10" t="str">
        <x:v>TRAVEL-301</x:v>
      </x:c>
      <x:c r="B151" s="11" t="n">
        <x:v>150</x:v>
      </x:c>
      <x:c r="C151" s="11" t="n">
        <x:v>3</x:v>
      </x:c>
      <x:c r="D151" s="10" t="str">
        <x:v>07</x:v>
      </x:c>
      <x:c r="E151" s="10" t="str">
        <x:v>observed</x:v>
      </x:c>
      <x:c r="F151" s="10" t="str">
        <x:v>Connect party manifest to route legs</x:v>
      </x:c>
      <x:c r="G151" s="10" t="str">
        <x:v>Matrix shows every active member versus every required leg/night and identifies not traveling, self-arranged, assigned, or missing.</x:v>
      </x:c>
      <x:c r="H151" s="10" t="str">
        <x:v>ADM-WF-013</x:v>
      </x:c>
      <x:c r="I151" s="10" t="str"/>
      <x:c r="J151" s="10" t="str">
        <x:v>Historical feature-spec progress ledger: done — Party manifest matrix: 4 cell statuses + gap queries + summary; 19 tests</x:v>
      </x:c>
    </x:row>
    <x:row r="152" ht="42" customHeight="1">
      <x:c r="A152" s="10" t="str">
        <x:v>TRAVEL-302</x:v>
      </x:c>
      <x:c r="B152" s="11" t="n">
        <x:v>151</x:v>
      </x:c>
      <x:c r="C152" s="11" t="n">
        <x:v>3</x:v>
      </x:c>
      <x:c r="D152" s="10" t="str">
        <x:v>07</x:v>
      </x:c>
      <x:c r="E152" s="10" t="str">
        <x:v>observed</x:v>
      </x:c>
      <x:c r="F152" s="10" t="str">
        <x:v>Build travel-segment commands</x:v>
      </x:c>
      <x:c r="G152" s="10" t="str">
        <x:v>Create/request/hold/confirm/change/cancel/complete with validation, idempotency, confirmation evidence, and audit.</x:v>
      </x:c>
      <x:c r="H152" s="10" t="str">
        <x:v>ADM-WF-013</x:v>
      </x:c>
      <x:c r="I152" s="10" t="str"/>
      <x:c r="J152" s="10" t="str">
        <x:v>Historical feature-spec progress ledger: done — Travel segment state machine (9 statuses) + command executor + idempotency + audit; 21 tests</x:v>
      </x:c>
    </x:row>
    <x:row r="153" ht="42" customHeight="1">
      <x:c r="A153" s="10" t="str">
        <x:v>TRAVEL-303</x:v>
      </x:c>
      <x:c r="B153" s="11" t="n">
        <x:v>152</x:v>
      </x:c>
      <x:c r="C153" s="11" t="n">
        <x:v>3</x:v>
      </x:c>
      <x:c r="D153" s="10" t="str">
        <x:v>07</x:v>
      </x:c>
      <x:c r="E153" s="10" t="str">
        <x:v>observed</x:v>
      </x:c>
      <x:c r="F153" s="10" t="str">
        <x:v>Build passenger assignment workflow</x:v>
      </x:c>
      <x:c r="G153" s="10" t="str">
        <x:v>Bulk assign by party group with preview; capacity, duplicate/overlap, accessibility, and missing-ticket conflicts are actionable.</x:v>
      </x:c>
      <x:c r="H153" s="10" t="str">
        <x:v>ADM-WF-013</x:v>
      </x:c>
      <x:c r="I153" s="10" t="str"/>
      <x:c r="J153" s="10" t="str">
        <x:v>Historical feature-spec progress ledger: done — Bulk assign: 5 conflict types (blocking/overridable), preview+execute; 13 tests</x:v>
      </x:c>
    </x:row>
    <x:row r="154" ht="42" customHeight="1">
      <x:c r="A154" s="10" t="str">
        <x:v>TRAVEL-304</x:v>
      </x:c>
      <x:c r="B154" s="11" t="n">
        <x:v>153</x:v>
      </x:c>
      <x:c r="C154" s="11" t="n">
        <x:v>3</x:v>
      </x:c>
      <x:c r="D154" s="10" t="str">
        <x:v>07</x:v>
      </x:c>
      <x:c r="E154" s="10" t="str">
        <x:v>observed</x:v>
      </x:c>
      <x:c r="F154" s="10" t="str">
        <x:v>Build itinerary timeline</x:v>
      </x:c>
      <x:c r="G154" s="10" t="str">
        <x:v>Per person/group/tour timeline merges route, transport, hotel, calls, and events in local time with gaps/overlaps and data freshness.</x:v>
      </x:c>
      <x:c r="H154" s="10" t="str">
        <x:v>ADM-WF-013</x:v>
      </x:c>
      <x:c r="I154" s="10" t="str"/>
      <x:c r="J154" s="10" t="str">
        <x:v>Historical feature-spec progress ledger: done — Per-person/group timeline: gap/overlap detection + stale flags + local time; 15 tests</x:v>
      </x:c>
    </x:row>
    <x:row r="155" ht="42" customHeight="1">
      <x:c r="A155" s="10" t="str">
        <x:v>TRAVEL-305</x:v>
      </x:c>
      <x:c r="B155" s="11" t="n">
        <x:v>154</x:v>
      </x:c>
      <x:c r="C155" s="11" t="n">
        <x:v>3</x:v>
      </x:c>
      <x:c r="D155" s="10" t="str">
        <x:v>07</x:v>
      </x:c>
      <x:c r="E155" s="10" t="str">
        <x:v>observed</x:v>
      </x:c>
      <x:c r="F155" s="10" t="str">
        <x:v>Add change impact engine</x:v>
      </x:c>
      <x:c r="G155" s="10" t="str">
        <x:v>Segment time/status changes identify affected passengers, connections, rooms, calls/shifts, equipment moves, costs, and publications before commit.</x:v>
      </x:c>
      <x:c r="H155" s="10" t="str">
        <x:v>ADM-WF-013</x:v>
      </x:c>
      <x:c r="I155" s="10" t="str"/>
      <x:c r="J155" s="10" t="str">
        <x:v>Historical feature-spec progress ledger: done — Change impact engine: 7 categories + requires_acknowledgement; 12 tests</x:v>
      </x:c>
    </x:row>
    <x:row r="156" ht="42" customHeight="1">
      <x:c r="A156" s="10" t="str">
        <x:v>TRAVEL-306</x:v>
      </x:c>
      <x:c r="B156" s="11" t="n">
        <x:v>155</x:v>
      </x:c>
      <x:c r="C156" s="11" t="n">
        <x:v>3</x:v>
      </x:c>
      <x:c r="D156" s="10" t="str">
        <x:v>07</x:v>
      </x:c>
      <x:c r="E156" s="10" t="str">
        <x:v>observed</x:v>
      </x:c>
      <x:c r="F156" s="10" t="str">
        <x:v>Publish traveler-specific itinerary</x:v>
      </x:c>
      <x:c r="G156" s="10" t="str">
        <x:v>Uses audience projection so each person receives their details and approved group context, with version/diff/acknowledgement and offline access.</x:v>
      </x:c>
      <x:c r="H156" s="10" t="str">
        <x:v>ADM-WF-013</x:v>
      </x:c>
      <x:c r="I156" s="10" t="str"/>
      <x:c r="J156" s="10" t="str">
        <x:v>Historical feature-spec progress ledger: done — Audience projection + version/diff/ack + offline token; 15 tests</x:v>
      </x:c>
    </x:row>
    <x:row r="157" ht="42" customHeight="1">
      <x:c r="A157" s="10" t="str">
        <x:v>TRANS-301</x:v>
      </x:c>
      <x:c r="B157" s="11" t="n">
        <x:v>156</x:v>
      </x:c>
      <x:c r="C157" s="11" t="n">
        <x:v>3</x:v>
      </x:c>
      <x:c r="D157" s="10" t="str">
        <x:v>07</x:v>
      </x:c>
      <x:c r="E157" s="10" t="str">
        <x:v>observed</x:v>
      </x:c>
      <x:c r="F157" s="10" t="str">
        <x:v>Create vehicle master and capacity</x:v>
      </x:c>
      <x:c r="G157" s="10" t="str">
        <x:v>Owned/rented/vendor vehicles have seat/berth/cargo/accessibility/maintenance status; sensitive driver/document data is protected.</x:v>
      </x:c>
      <x:c r="H157" s="10" t="str">
        <x:v>ADM-WF-013</x:v>
      </x:c>
      <x:c r="I157" s="10" t="str"/>
      <x:c r="J157" s="10" t="str">
        <x:v>Historical feature-spec progress ledger: done — Vehicle master: 3 ownership + 10 classes + capacity/accessibility/sensitive-doc flag; 22 tests</x:v>
      </x:c>
    </x:row>
    <x:row r="158" ht="42" customHeight="1">
      <x:c r="A158" s="10" t="str">
        <x:v>TRANS-302</x:v>
      </x:c>
      <x:c r="B158" s="11" t="n">
        <x:v>157</x:v>
      </x:c>
      <x:c r="C158" s="11" t="n">
        <x:v>3</x:v>
      </x:c>
      <x:c r="D158" s="10" t="str">
        <x:v>07</x:v>
      </x:c>
      <x:c r="E158" s="10" t="str">
        <x:v>observed</x:v>
      </x:c>
      <x:c r="F158" s="10" t="str">
        <x:v>Create vehicle movements</x:v>
      </x:c>
      <x:c r="G158" s="10" t="str">
        <x:v>Movements align to route legs or local transfers; planned/actual time, pickup point, dispatcher/contact, passengers/cargo, status, and costs are complete.</x:v>
      </x:c>
      <x:c r="H158" s="10" t="str">
        <x:v>ADM-WF-013</x:v>
      </x:c>
      <x:c r="I158" s="10" t="str"/>
      <x:c r="J158" s="10" t="str">
        <x:v>Historical feature-spec progress ledger: done — VehicleMovement: 5-status lifecycle + 6 commands + update + duration helper; 12 tests</x:v>
      </x:c>
    </x:row>
    <x:row r="159" ht="42" customHeight="1">
      <x:c r="A159" s="10" t="str">
        <x:v>TRANS-303</x:v>
      </x:c>
      <x:c r="B159" s="11" t="n">
        <x:v>158</x:v>
      </x:c>
      <x:c r="C159" s="11" t="n">
        <x:v>3</x:v>
      </x:c>
      <x:c r="D159" s="10" t="str">
        <x:v>07</x:v>
      </x:c>
      <x:c r="E159" s="10" t="str">
        <x:v>observed</x:v>
      </x:c>
      <x:c r="F159" s="10" t="str">
        <x:v>Add seat/berth assignment</x:v>
      </x:c>
      <x:c r="G159" s="10" t="str">
        <x:v>Visual/list assignment respects capacity, restrictions, accessibility and overnight continuity; overbooking is blocked or explicitly overridden.</x:v>
      </x:c>
      <x:c r="H159" s="10" t="str">
        <x:v>ADM-WF-013</x:v>
      </x:c>
      <x:c r="I159" s="10" t="str"/>
      <x:c r="J159" s="10" t="str">
        <x:v>Historical feature-spec progress ledger: done — Seat/berth: 5 conflict types (blocking/overridable), overnight/wheelchair checks; 8 tests</x:v>
      </x:c>
    </x:row>
    <x:row r="160" ht="42" customHeight="1">
      <x:c r="A160" s="10" t="str">
        <x:v>TRANS-304</x:v>
      </x:c>
      <x:c r="B160" s="11" t="n">
        <x:v>159</x:v>
      </x:c>
      <x:c r="C160" s="11" t="n">
        <x:v>3</x:v>
      </x:c>
      <x:c r="D160" s="10" t="str">
        <x:v>07</x:v>
      </x:c>
      <x:c r="E160" s="10" t="str">
        <x:v>observed</x:v>
      </x:c>
      <x:c r="F160" s="10" t="str">
        <x:v>Add driver assignment/rest checks</x:v>
      </x:c>
      <x:c r="G160" s="10" t="str">
        <x:v>Driver qualifications, availability, planned hours/rest, handoffs, and acknowledgements are validated using configured policy.</x:v>
      </x:c>
      <x:c r="H160" s="10" t="str">
        <x:v>ADM-WF-013</x:v>
      </x:c>
      <x:c r="I160" s="10" t="str"/>
      <x:c r="J160" s="10" t="str">
        <x:v>Historical feature-spec progress ledger: done — Driver rest/HOS checks: 4 validation codes + policy; 5 tests</x:v>
      </x:c>
    </x:row>
    <x:row r="161" ht="42" customHeight="1">
      <x:c r="A161" s="10" t="str">
        <x:v>TRANS-305</x:v>
      </x:c>
      <x:c r="B161" s="11" t="n">
        <x:v>160</x:v>
      </x:c>
      <x:c r="C161" s="11" t="n">
        <x:v>3</x:v>
      </x:c>
      <x:c r="D161" s="10" t="str">
        <x:v>07</x:v>
      </x:c>
      <x:c r="E161" s="10" t="str">
        <x:v>observed</x:v>
      </x:c>
      <x:c r="F161" s="10" t="str">
        <x:v>Add pickup/dropoff operations</x:v>
      </x:c>
      <x:c r="G161" s="10" t="str">
        <x:v>Precise location/instructions, passenger check state, delay/exception, driver dispatch view, and offline contact fallback are provided.</x:v>
      </x:c>
      <x:c r="H161" s="10" t="str">
        <x:v>ADM-WF-013</x:v>
      </x:c>
      <x:c r="I161" s="10" t="str"/>
      <x:c r="J161" s="10" t="str">
        <x:v>Historical feature-spec progress ledger: done — Pickup/dropoff: check-state + delay + estimated ETA + offline instructions; 4 tests</x:v>
      </x:c>
    </x:row>
    <x:row r="162" ht="42" customHeight="1">
      <x:c r="A162" s="10" t="str">
        <x:v>TRANS-306</x:v>
      </x:c>
      <x:c r="B162" s="11" t="n">
        <x:v>161</x:v>
      </x:c>
      <x:c r="C162" s="11" t="n">
        <x:v>3</x:v>
      </x:c>
      <x:c r="D162" s="10" t="str">
        <x:v>07</x:v>
      </x:c>
      <x:c r="E162" s="10" t="str">
        <x:v>observed</x:v>
      </x:c>
      <x:c r="F162" s="10" t="str">
        <x:v>Track actual mileage/cost/issue</x:v>
      </x:c>
      <x:c r="G162" s="10" t="str">
        <x:v>Fuel, toll, mileage, delay, damage/incident, and vendor issue feed finance/vendor performance and closeout.</x:v>
      </x:c>
      <x:c r="H162" s="10" t="str">
        <x:v>ADM-WF-013</x:v>
      </x:c>
      <x:c r="I162" s="10" t="str"/>
      <x:c r="J162" s="10" t="str">
        <x:v>Historical feature-spec progress ledger: done — Movement actuals: mileage/fuel/toll/issue/vendor-followup + finance summary; 6 tests</x:v>
      </x:c>
    </x:row>
    <x:row r="163" ht="42" customHeight="1">
      <x:c r="A163" s="10" t="str">
        <x:v>LODGE-301</x:v>
      </x:c>
      <x:c r="B163" s="11" t="n">
        <x:v>162</x:v>
      </x:c>
      <x:c r="C163" s="11" t="n">
        <x:v>3</x:v>
      </x:c>
      <x:c r="D163" s="10" t="str">
        <x:v>07</x:v>
      </x:c>
      <x:c r="E163" s="10" t="str">
        <x:v>observed</x:v>
      </x:c>
      <x:c r="F163" s="10" t="str">
        <x:v>Build lodging block workflow</x:v>
      </x:c>
      <x:c r="G163" s="10" t="str">
        <x:v>Request/hold/confirm/cancel/close with dates, room type counts, rates/tax, cutoff, attrition/terms, confirmation, owner, contract/cost links.</x:v>
      </x:c>
      <x:c r="H163" s="10" t="str">
        <x:v>ADM-WF-013</x:v>
      </x:c>
      <x:c r="I163" s="10" t="str"/>
      <x:c r="J163" s="10" t="str">
        <x:v>Historical feature-spec progress ledger: done — Block lifecycle: 5 statuses + confirm requires confirmation_number; 4 tests</x:v>
      </x:c>
    </x:row>
    <x:row r="164" ht="42" customHeight="1">
      <x:c r="A164" s="10" t="str">
        <x:v>LODGE-302</x:v>
      </x:c>
      <x:c r="B164" s="11" t="n">
        <x:v>163</x:v>
      </x:c>
      <x:c r="C164" s="11" t="n">
        <x:v>3</x:v>
      </x:c>
      <x:c r="D164" s="10" t="str">
        <x:v>07</x:v>
      </x:c>
      <x:c r="E164" s="10" t="str">
        <x:v>observed</x:v>
      </x:c>
      <x:c r="F164" s="10" t="str">
        <x:v>Build nightly inventory matrix</x:v>
      </x:c>
      <x:c r="G164" s="10" t="str">
        <x:v>Nights × room types show contracted, picked up, assigned, available, waitlisted, and variance; date/time-zone boundaries are correct.</x:v>
      </x:c>
      <x:c r="H164" s="10" t="str">
        <x:v>ADM-WF-013</x:v>
      </x:c>
      <x:c r="I164" s="10" t="str"/>
      <x:c r="J164" s="10" t="str">
        <x:v>Historical feature-spec progress ledger: done — Nightly inventory matrix: contracted/picked-up/assigned/available; 2 tests</x:v>
      </x:c>
    </x:row>
    <x:row r="165" ht="42" customHeight="1">
      <x:c r="A165" s="10" t="str">
        <x:v>LODGE-303</x:v>
      </x:c>
      <x:c r="B165" s="11" t="n">
        <x:v>164</x:v>
      </x:c>
      <x:c r="C165" s="11" t="n">
        <x:v>3</x:v>
      </x:c>
      <x:c r="D165" s="10" t="str">
        <x:v>07</x:v>
      </x:c>
      <x:c r="E165" s="10" t="str">
        <x:v>observed</x:v>
      </x:c>
      <x:c r="F165" s="10" t="str">
        <x:v>Build rooming-list assignment</x:v>
      </x:c>
      <x:c r="G165" s="10" t="str">
        <x:v>Drag/list/bulk assignment supports roommate rules, single/crew preferences, accessibility, check-in/out differences, and explicit unresolved state.</x:v>
      </x:c>
      <x:c r="H165" s="10" t="str">
        <x:v>ADM-WF-013</x:v>
      </x:c>
      <x:c r="I165" s="10" t="str"/>
      <x:c r="J165" s="10" t="str">
        <x:v>Historical feature-spec progress ledger: done — Rooming validation: single/excluded/capacity conflicts; 4 tests</x:v>
      </x:c>
    </x:row>
    <x:row r="166" ht="42" customHeight="1">
      <x:c r="A166" s="10" t="str">
        <x:v>LODGE-304</x:v>
      </x:c>
      <x:c r="B166" s="11" t="n">
        <x:v>165</x:v>
      </x:c>
      <x:c r="C166" s="11" t="n">
        <x:v>3</x:v>
      </x:c>
      <x:c r="D166" s="10" t="str">
        <x:v>07</x:v>
      </x:c>
      <x:c r="E166" s="10" t="str">
        <x:v>observed</x:v>
      </x:c>
      <x:c r="F166" s="10" t="str">
        <x:v>Add occupancy/capacity validation</x:v>
      </x:c>
      <x:c r="G166" s="10" t="str">
        <x:v>Prevent impossible overlapping properties/rooms, excess guests, missing nights, late-arrival gaps, and unassigned active party members.</x:v>
      </x:c>
      <x:c r="H166" s="10" t="str">
        <x:v>ADM-WF-013</x:v>
      </x:c>
      <x:c r="I166" s="10" t="str"/>
      <x:c r="J166" s="10" t="str">
        <x:v>Historical feature-spec progress ledger: done — Occupancy validation: unassigned required persons; 2 tests</x:v>
      </x:c>
    </x:row>
    <x:row r="167" ht="42" customHeight="1">
      <x:c r="A167" s="10" t="str">
        <x:v>LODGE-305</x:v>
      </x:c>
      <x:c r="B167" s="11" t="n">
        <x:v>166</x:v>
      </x:c>
      <x:c r="C167" s="11" t="n">
        <x:v>3</x:v>
      </x:c>
      <x:c r="D167" s="10" t="str">
        <x:v>07</x:v>
      </x:c>
      <x:c r="E167" s="10" t="str">
        <x:v>observed</x:v>
      </x:c>
      <x:c r="F167" s="10" t="str">
        <x:v>Add confirmation/deadline workflow</x:v>
      </x:c>
      <x:c r="G167" s="10" t="str">
        <x:v>Rooming cutoff, provider submission/version, confirmation numbers, changes after cutoff, acknowledgement, and escalation are tracked.</x:v>
      </x:c>
      <x:c r="H167" s="10" t="str">
        <x:v>ADM-WF-013</x:v>
      </x:c>
      <x:c r="I167" s="10" t="str"/>
      <x:c r="J167" s="10" t="str">
        <x:v>Historical feature-spec progress ledger: done — Deadline tracking: past-cutoff + modified-after-cutoff; 3 tests</x:v>
      </x:c>
    </x:row>
    <x:row r="168" ht="42" customHeight="1">
      <x:c r="A168" s="10" t="str">
        <x:v>LODGE-306</x:v>
      </x:c>
      <x:c r="B168" s="11" t="n">
        <x:v>167</x:v>
      </x:c>
      <x:c r="C168" s="11" t="n">
        <x:v>3</x:v>
      </x:c>
      <x:c r="D168" s="10" t="str">
        <x:v>07</x:v>
      </x:c>
      <x:c r="E168" s="10" t="str">
        <x:v>observed</x:v>
      </x:c>
      <x:c r="F168" s="10" t="str">
        <x:v>Add payment/incidentals policy</x:v>
      </x:c>
      <x:c r="G168" s="10" t="str">
        <x:v>Master/individual payment, deposit, tax, cancellation, incidentals responsibility, folio/receipt, and reconciliation fields feed finance.</x:v>
      </x:c>
      <x:c r="H168" s="10" t="str">
        <x:v>ADM-WF-013</x:v>
      </x:c>
      <x:c r="I168" s="10" t="str"/>
      <x:c r="J168" s="10" t="str">
        <x:v>Historical feature-spec progress ledger: done — Cost estimation: rate × nights × rooms + deposit; 2 tests</x:v>
      </x:c>
    </x:row>
    <x:row r="169" ht="42" customHeight="1">
      <x:c r="A169" s="10" t="str">
        <x:v>LODGE-307</x:v>
      </x:c>
      <x:c r="B169" s="11" t="n">
        <x:v>168</x:v>
      </x:c>
      <x:c r="C169" s="11" t="n">
        <x:v>3</x:v>
      </x:c>
      <x:c r="D169" s="10" t="str">
        <x:v>07</x:v>
      </x:c>
      <x:c r="E169" s="10" t="str">
        <x:v>observed</x:v>
      </x:c>
      <x:c r="F169" s="10" t="str">
        <x:v>Publish lodging projections</x:v>
      </x:c>
      <x:c r="G169" s="10" t="str">
        <x:v>Travelers receive only their property/room/check-in information and permitted roommate/contact detail; vendor receives authorized rooming list version.</x:v>
      </x:c>
      <x:c r="H169" s="10" t="str">
        <x:v>ADM-WF-013</x:v>
      </x:c>
      <x:c r="I169" s="10" t="str"/>
      <x:c r="J169" s="10" t="str">
        <x:v>Historical feature-spec progress ledger: done — Traveler projection: property/room/roommate names, no IDs; 1 test</x:v>
      </x:c>
    </x:row>
    <x:row r="170" ht="42" customHeight="1">
      <x:c r="A170" s="10" t="str">
        <x:v>LOG-301</x:v>
      </x:c>
      <x:c r="B170" s="11" t="n">
        <x:v>169</x:v>
      </x:c>
      <x:c r="C170" s="11" t="n">
        <x:v>3</x:v>
      </x:c>
      <x:c r="D170" s="10" t="str">
        <x:v>08</x:v>
      </x:c>
      <x:c r="E170" s="10" t="str">
        <x:v>observed</x:v>
      </x:c>
      <x:c r="F170" s="10" t="str">
        <x:v>Upgrade task dependencies/checklists</x:v>
      </x:c>
      <x:c r="G170" s="10" t="str">
        <x:v>Task supports blockers, dependencies, repeated checklist, source entity/version, completion validation, and explicit failed/unknown state.</x:v>
      </x:c>
      <x:c r="H170" s="10" t="str">
        <x:v>ADM-WF-013</x:v>
      </x:c>
      <x:c r="I170" s="10" t="str"/>
      <x:c r="J170" s="10" t="str">
        <x:v>Historical feature-spec progress ledger: done — Extended statuses + deps/checklist/source-version/completion-validation; 24 tests</x:v>
      </x:c>
    </x:row>
    <x:row r="171" ht="42" customHeight="1">
      <x:c r="A171" s="10" t="str">
        <x:v>LOG-302</x:v>
      </x:c>
      <x:c r="B171" s="11" t="n">
        <x:v>170</x:v>
      </x:c>
      <x:c r="C171" s="11" t="n">
        <x:v>3</x:v>
      </x:c>
      <x:c r="D171" s="10" t="str">
        <x:v>08</x:v>
      </x:c>
      <x:c r="E171" s="10" t="str">
        <x:v>observed</x:v>
      </x:c>
      <x:c r="F171" s="10" t="str">
        <x:v>Build tour logistics board</x:v>
      </x:c>
      <x:c r="G171" s="10" t="str">
        <x:v>Views by tour, stop, leg, department, owner, due, blocker, and domain; bulk changes preview eligibility and report partial failures.</x:v>
      </x:c>
      <x:c r="H171" s="10" t="str">
        <x:v>ADM-WF-013</x:v>
      </x:c>
      <x:c r="I171" s="10" t="str"/>
      <x:c r="J171" s="10" t="str">
        <x:v>Historical feature-spec progress ledger: done — Board filter/group/bulk-preview/execute/full-view; 23 tests</x:v>
      </x:c>
    </x:row>
    <x:row r="172" ht="42" customHeight="1">
      <x:c r="A172" s="10" t="str">
        <x:v>EQUIP-301</x:v>
      </x:c>
      <x:c r="B172" s="11" t="n">
        <x:v>171</x:v>
      </x:c>
      <x:c r="C172" s="11" t="n">
        <x:v>3</x:v>
      </x:c>
      <x:c r="D172" s="10" t="str">
        <x:v>08</x:v>
      </x:c>
      <x:c r="E172" s="10" t="str">
        <x:v>observed</x:v>
      </x:c>
      <x:c r="F172" s="10" t="str">
        <x:v>Create organization equipment catalog</x:v>
      </x:c>
      <x:c r="G172" s="10" t="str">
        <x:v>Asset/type, serial/tag, ownership/vendor, dimensions/weight/value, current state, service due, and restricted financial fields are modeled.</x:v>
      </x:c>
      <x:c r="H172" s="10" t="str">
        <x:v>ADM-WF-013</x:v>
      </x:c>
      <x:c r="I172" s="10" t="str"/>
      <x:c r="J172" s="10" t="str">
        <x:v>Historical feature-spec progress ledger: done — Asset/type/serial/tag/ownership/vendor/dims/value/state/service-due + finance gate; 27 tests</x:v>
      </x:c>
    </x:row>
    <x:row r="173" ht="42" customHeight="1">
      <x:c r="A173" s="10" t="str">
        <x:v>EQUIP-302</x:v>
      </x:c>
      <x:c r="B173" s="11" t="n">
        <x:v>172</x:v>
      </x:c>
      <x:c r="C173" s="11" t="n">
        <x:v>3</x:v>
      </x:c>
      <x:c r="D173" s="10" t="str">
        <x:v>08</x:v>
      </x:c>
      <x:c r="E173" s="10" t="str">
        <x:v>observed</x:v>
      </x:c>
      <x:c r="F173" s="10" t="str">
        <x:v>Build cases/kits and manifest versions</x:v>
      </x:c>
      <x:c r="G173" s="10" t="str">
        <x:v>Managers compose department manifests, quantities, alternates, cases/contents, source, responsible role, and approval; published version is immutable.</x:v>
      </x:c>
      <x:c r="H173" s="10" t="str">
        <x:v>ADM-WF-013</x:v>
      </x:c>
      <x:c r="I173" s="10" t="str"/>
      <x:c r="J173" s="10" t="str">
        <x:v>Historical feature-spec progress ledger: done — Cases (draft/sealed/open/retired + versioned contents) + manifests (draft→submitted→approved→published immutable snapshot + supersede); 46 tests</x:v>
      </x:c>
    </x:row>
    <x:row r="174" ht="42" customHeight="1">
      <x:c r="A174" s="10" t="str">
        <x:v>EQUIP-303</x:v>
      </x:c>
      <x:c r="B174" s="11" t="n">
        <x:v>173</x:v>
      </x:c>
      <x:c r="C174" s="11" t="n">
        <x:v>3</x:v>
      </x:c>
      <x:c r="D174" s="10" t="str">
        <x:v>08</x:v>
      </x:c>
      <x:c r="E174" s="10" t="str">
        <x:v>observed</x:v>
      </x:c>
      <x:c r="F174" s="10" t="str">
        <x:v>Connect equipment to route movements</x:v>
      </x:c>
      <x:c r="G174" s="10" t="str">
        <x:v>Every required item/case has explicit location/movement/vehicle/owner state for relevant legs/stops; gaps and capacity issues are reported.</x:v>
      </x:c>
      <x:c r="H174" s="10" t="str">
        <x:v>ADM-WF-013</x:v>
      </x:c>
      <x:c r="I174" s="10" t="str"/>
      <x:c r="J174" s="10" t="str">
        <x:v>Historical feature-spec progress ledger: done — Movement lifecycle + location derivation + gap/capacity report (4 gap codes, per-leg coverage, unassigned items); 23 tests</x:v>
      </x:c>
    </x:row>
    <x:row r="175" ht="42" customHeight="1">
      <x:c r="A175" s="10" t="str">
        <x:v>EQUIP-304</x:v>
      </x:c>
      <x:c r="B175" s="11" t="n">
        <x:v>174</x:v>
      </x:c>
      <x:c r="C175" s="11" t="n">
        <x:v>3</x:v>
      </x:c>
      <x:c r="D175" s="10" t="str">
        <x:v>08</x:v>
      </x:c>
      <x:c r="E175" s="10" t="str">
        <x:v>observed</x:v>
      </x:c>
      <x:c r="F175" s="10" t="str">
        <x:v>Implement scan/custody workflow</x:v>
      </x:c>
      <x:c r="G175" s="10" t="str">
        <x:v>QR/barcode/manual fallback records load, transfer, unload, check, condition, actor/device/time/location; offline queue is idempotent.</x:v>
      </x:c>
      <x:c r="H175" s="10" t="str">
        <x:v>ADM-WF-013</x:v>
      </x:c>
      <x:c r="I175" s="10" t="str"/>
      <x:c r="J175" s="10" t="str">
        <x:v>Historical feature-spec progress ledger: done — Scan resolution (QR/barcode/NFC/manual + fuzzy fallback) + CustodyEvent + offline queue (idempotent enqueue/flush/reject/increment) + custody chain + dedup + integrity checks; 27 tests</x:v>
      </x:c>
    </x:row>
    <x:row r="176" ht="42" customHeight="1">
      <x:c r="A176" s="10" t="str">
        <x:v>EQUIP-305</x:v>
      </x:c>
      <x:c r="B176" s="11" t="n">
        <x:v>175</x:v>
      </x:c>
      <x:c r="C176" s="11" t="n">
        <x:v>3</x:v>
      </x:c>
      <x:c r="D176" s="10" t="str">
        <x:v>08</x:v>
      </x:c>
      <x:c r="E176" s="10" t="str">
        <x:v>observed</x:v>
      </x:c>
      <x:c r="F176" s="10" t="str">
        <x:v>Add load-in/load-out checklists</x:v>
      </x:c>
      <x:c r="G176" s="10" t="str">
        <x:v>Templates derive from manifest and venue advance; exceptions require reason/photo/assignment and remain open through closeout.</x:v>
      </x:c>
      <x:c r="H176" s="10" t="str">
        <x:v>ADM-WF-013</x:v>
      </x:c>
      <x:c r="I176" s="10" t="str"/>
      <x:c r="J176" s="10" t="str">
        <x:v>Historical feature-spec progress ledger: done — Load-in/out checklist (template from manifest+advance; check/exception/waive/resolve/closeout; exceptions remain open until explicit resolution); 25 tests</x:v>
      </x:c>
    </x:row>
    <x:row r="177" ht="42" customHeight="1">
      <x:c r="A177" s="10" t="str">
        <x:v>EQUIP-306</x:v>
      </x:c>
      <x:c r="B177" s="11" t="n">
        <x:v>176</x:v>
      </x:c>
      <x:c r="C177" s="11" t="n">
        <x:v>3</x:v>
      </x:c>
      <x:c r="D177" s="10" t="str">
        <x:v>08</x:v>
      </x:c>
      <x:c r="E177" s="10" t="str">
        <x:v>observed</x:v>
      </x:c>
      <x:c r="F177" s="10" t="str">
        <x:v>Add damage/loss/service workflow</x:v>
      </x:c>
      <x:c r="G177" s="10" t="str">
        <x:v>Report, secure evidence, custody chain, severity, owner, vendor/insurance/finance link, resolution, replacement, and service history are complete.</x:v>
      </x:c>
      <x:c r="H177" s="10" t="str">
        <x:v>ADM-WF-013</x:v>
      </x:c>
      <x:c r="I177" s="10" t="str"/>
      <x:c r="J177" s="10" t="str">
        <x:v>Historical feature-spec progress ledger: done — DamageLossReport (5-state + evidence tokens + custody chain + vendor/insurance/finance + resolution) + ServiceEvent (5-state + parts/cost + history) + IncidentSummary; 30 tests</x:v>
      </x:c>
    </x:row>
    <x:row r="178" ht="42" customHeight="1">
      <x:c r="A178" s="10" t="str">
        <x:v>RENT-301</x:v>
      </x:c>
      <x:c r="B178" s="11" t="n">
        <x:v>177</x:v>
      </x:c>
      <x:c r="C178" s="11" t="n">
        <x:v>3</x:v>
      </x:c>
      <x:c r="D178" s="10" t="str">
        <x:v>08</x:v>
      </x:c>
      <x:c r="E178" s="10" t="str">
        <x:v>observed</x:v>
      </x:c>
      <x:c r="F178" s="10" t="str">
        <x:v>Normalize rental agreements</x:v>
      </x:c>
      <x:c r="G178" s="10" t="str">
        <x:v>Vendor, items/quantity, dates/locations, terms/deposit, pickup/return, condition, contract/PO/invoice and status transitions are linked.</x:v>
      </x:c>
      <x:c r="H178" s="10" t="str">
        <x:v>ADM-WF-013</x:v>
      </x:c>
      <x:c r="I178" s="10" t="str"/>
      <x:c r="J178" s="10" t="str">
        <x:v>Historical feature-spec progress ledger: done — Agreement lifecycle (8 statuses, draft→reconciled + dispute path + cancel+redraft); line items/costs/pickup/return/contract/PO/invoice; 9 tests</x:v>
      </x:c>
    </x:row>
    <x:row r="179" ht="42" customHeight="1">
      <x:c r="A179" s="10" t="str">
        <x:v>RENT-302</x:v>
      </x:c>
      <x:c r="B179" s="11" t="n">
        <x:v>178</x:v>
      </x:c>
      <x:c r="C179" s="11" t="n">
        <x:v>3</x:v>
      </x:c>
      <x:c r="D179" s="10" t="str">
        <x:v>08</x:v>
      </x:c>
      <x:c r="E179" s="10" t="str">
        <x:v>observed</x:v>
      </x:c>
      <x:c r="F179" s="10" t="str">
        <x:v>Add rental conflict/return alerts</x:v>
      </x:c>
      <x:c r="G179" s="10" t="str">
        <x:v>Detect date/quantity/source conflict, missing pickup/return owner, overdue return, damage, and cost variance with escalation.</x:v>
      </x:c>
      <x:c r="H179" s="10" t="str">
        <x:v>ADM-WF-013</x:v>
      </x:c>
      <x:c r="I179" s="10" t="str"/>
      <x:c r="J179" s="10" t="str">
        <x:v>Historical feature-spec progress ledger: done — 5 alert detectors (date_overlap/missing_owners/overdue_return/damage_on_return/cost_variance + threshold+escalation); scanRentalAlerts; 20 tests</x:v>
      </x:c>
    </x:row>
    <x:row r="180" ht="42" customHeight="1">
      <x:c r="A180" s="10" t="str">
        <x:v>CATER-301</x:v>
      </x:c>
      <x:c r="B180" s="11" t="n">
        <x:v>179</x:v>
      </x:c>
      <x:c r="C180" s="11" t="n">
        <x:v>3</x:v>
      </x:c>
      <x:c r="D180" s="10" t="str">
        <x:v>08</x:v>
      </x:c>
      <x:c r="E180" s="10" t="str">
        <x:v>observed</x:v>
      </x:c>
      <x:c r="F180" s="10" t="str">
        <x:v>Normalize hospitality requirements</x:v>
      </x:c>
      <x:c r="G180" s="10" t="str">
        <x:v>Approved rider/advance and party needs map to structured quantities/notes; source/version and local variance are visible.</x:v>
      </x:c>
      <x:c r="H180" s="10" t="str">
        <x:v>ADM-WF-013</x:v>
      </x:c>
      <x:c r="I180" s="10" t="str"/>
      <x:c r="J180" s="10" t="str">
        <x:v>Historical feature-spec progress ledger: done — HospitalityRequirement (source/version/variance tracking + variance summary); 3 tests</x:v>
      </x:c>
    </x:row>
    <x:row r="181" ht="42" customHeight="1">
      <x:c r="A181" s="10" t="str">
        <x:v>CATER-302</x:v>
      </x:c>
      <x:c r="B181" s="11" t="n">
        <x:v>180</x:v>
      </x:c>
      <x:c r="C181" s="11" t="n">
        <x:v>3</x:v>
      </x:c>
      <x:c r="D181" s="10" t="str">
        <x:v>08</x:v>
      </x:c>
      <x:c r="E181" s="10" t="str">
        <x:v>observed</x:v>
      </x:c>
      <x:c r="F181" s="10" t="str">
        <x:v>Build meal-service planner</x:v>
      </x:c>
      <x:c r="G181" s="10" t="str">
        <x:v>Breakfast/lunch/dinner/snack/buyout/other includes window/location/provider/menu/headcount/cost/status/owner and event timeline conflicts.</x:v>
      </x:c>
      <x:c r="H181" s="10" t="str">
        <x:v>ADM-WF-013</x:v>
      </x:c>
      <x:c r="I181" s="10" t="str"/>
      <x:c r="J181" s="10" t="str">
        <x:v>Historical feature-spec progress ledger: done — MealService (5-status + 6 meal types + window/provider/menu/cost/owner) + timeline conflict detector; 8 tests</x:v>
      </x:c>
    </x:row>
    <x:row r="182" ht="42" customHeight="1">
      <x:c r="A182" s="10" t="str">
        <x:v>CATER-303</x:v>
      </x:c>
      <x:c r="B182" s="11" t="n">
        <x:v>181</x:v>
      </x:c>
      <x:c r="C182" s="11" t="n">
        <x:v>3</x:v>
      </x:c>
      <x:c r="D182" s="10" t="str">
        <x:v>08</x:v>
      </x:c>
      <x:c r="E182" s="10" t="str">
        <x:v>observed</x:v>
      </x:c>
      <x:c r="F182" s="10" t="str">
        <x:v>Generate privacy-safe headcounts</x:v>
      </x:c>
      <x:c r="G182" s="10" t="str">
        <x:v>Headcount snapshot traces included groups and aggregates dietary/accessibility needs; identifiable exceptions require capability and purpose.</x:v>
      </x:c>
      <x:c r="H182" s="10" t="str">
        <x:v>ADM-WF-013</x:v>
      </x:c>
      <x:c r="I182" s="10" t="str"/>
      <x:c r="J182" s="10" t="str">
        <x:v>Historical feature-spec progress ledger: done — Privacy-safe headcount snapshot (dietary+accessibility aggregates; coordinator cap gate for individual exceptions); 3 tests</x:v>
      </x:c>
    </x:row>
    <x:row r="183" ht="42" customHeight="1">
      <x:c r="A183" s="10" t="str">
        <x:v>CATER-304</x:v>
      </x:c>
      <x:c r="B183" s="11" t="n">
        <x:v>182</x:v>
      </x:c>
      <x:c r="C183" s="11" t="n">
        <x:v>3</x:v>
      </x:c>
      <x:c r="D183" s="10" t="str">
        <x:v>08</x:v>
      </x:c>
      <x:c r="E183" s="10" t="str">
        <x:v>observed</x:v>
      </x:c>
      <x:c r="F183" s="10" t="str">
        <x:v>Add menu/delivery approval</x:v>
      </x:c>
      <x:c r="G183" s="10" t="str">
        <x:v>Provider proposal, internal approval/change, delivery acceptance, shortage/quality issue, and actual headcount/cost are tracked.</x:v>
      </x:c>
      <x:c r="H183" s="10" t="str">
        <x:v>ADM-WF-013</x:v>
      </x:c>
      <x:c r="I183" s="10" t="str"/>
      <x:c r="J183" s="10" t="str">
        <x:v>Historical feature-spec progress ledger: done — MenuProposal workflow (proposed→approved→accepted; issue_reported; actual headcount+cost reconciliation); 5 tests</x:v>
      </x:c>
    </x:row>
    <x:row r="184" ht="42" customHeight="1">
      <x:c r="A184" s="10" t="str">
        <x:v>CATER-305</x:v>
      </x:c>
      <x:c r="B184" s="11" t="n">
        <x:v>183</x:v>
      </x:c>
      <x:c r="C184" s="11" t="n">
        <x:v>3</x:v>
      </x:c>
      <x:c r="D184" s="10" t="str">
        <x:v>08</x:v>
      </x:c>
      <x:c r="E184" s="10" t="str">
        <x:v>observed</x:v>
      </x:c>
      <x:c r="F184" s="10" t="str">
        <x:v>Build hospitality delivery checklist</x:v>
      </x:c>
      <x:c r="G184" s="10" t="str">
        <x:v>Rider items by room/location/window/quantity/provider are accepted with variance and linked to advance/site map/task.</x:v>
      </x:c>
      <x:c r="H184" s="10" t="str">
        <x:v>ADM-WF-013</x:v>
      </x:c>
      <x:c r="I184" s="10" t="str"/>
      <x:c r="J184" s="10" t="str">
        <x:v>Historical feature-spec progress ledger: done — DeliveryChecklistItem (accept/variance/missing; linked to advance/map/task) + summary; 4 tests</x:v>
      </x:c>
    </x:row>
    <x:row r="185" ht="42" customHeight="1">
      <x:c r="A185" s="10" t="str">
        <x:v>CATER-306</x:v>
      </x:c>
      <x:c r="B185" s="11" t="n">
        <x:v>184</x:v>
      </x:c>
      <x:c r="C185" s="11" t="n">
        <x:v>3</x:v>
      </x:c>
      <x:c r="D185" s="10" t="str">
        <x:v>08</x:v>
      </x:c>
      <x:c r="E185" s="10" t="str">
        <x:v>observed</x:v>
      </x:c>
      <x:c r="F185" s="10" t="str">
        <x:v>Publish crew/vendor views</x:v>
      </x:c>
      <x:c r="G185" s="10" t="str">
        <x:v>Crew receives meal/service details; vendor receives only authorized quantities/windows/contacts/dietary aggregates and versioned changes.</x:v>
      </x:c>
      <x:c r="H185" s="10" t="str">
        <x:v>ADM-WF-013</x:v>
      </x:c>
      <x:c r="I185" s="10" t="str"/>
      <x:c r="J185" s="10" t="str">
        <x:v>Historical feature-spec progress ledger: done — ProjectedCrewMealView (personal note only) + ProjectedVendorDeliveryView (aggregates only; no person IDs verified); 3 tests</x:v>
      </x:c>
    </x:row>
    <x:row r="186" ht="42" customHeight="1">
      <x:c r="A186" s="10" t="str">
        <x:v>MAP-301</x:v>
      </x:c>
      <x:c r="B186" s="11" t="n">
        <x:v>185</x:v>
      </x:c>
      <x:c r="C186" s="11" t="n">
        <x:v>3</x:v>
      </x:c>
      <x:c r="D186" s="10" t="str">
        <x:v>08</x:v>
      </x:c>
      <x:c r="E186" s="10" t="str">
        <x:v>observed</x:v>
      </x:c>
      <x:c r="F186" s="10" t="str">
        <x:v>Add map versions and lifecycle</x:v>
      </x:c>
      <x:c r="G186" s="10" t="str">
        <x:v>Draft/review/approved/published/superseded/archived with immutable published versions, thumbnails/checksum, source file, owner, and audit.</x:v>
      </x:c>
      <x:c r="H186" s="10" t="str">
        <x:v>ADM-WF-013</x:v>
      </x:c>
      <x:c r="I186" s="10" t="str"/>
      <x:c r="J186" s="10" t="str">
        <x:v>Historical feature-spec progress ledger: done — Version lifecycle: draft/review/approved/published/superseded/archived; immutable published; checksum/thumbnail; audit</x:v>
      </x:c>
    </x:row>
    <x:row r="187" ht="42" customHeight="1">
      <x:c r="A187" s="10" t="str">
        <x:v>MAP-302</x:v>
      </x:c>
      <x:c r="B187" s="11" t="n">
        <x:v>186</x:v>
      </x:c>
      <x:c r="C187" s="11" t="n">
        <x:v>3</x:v>
      </x:c>
      <x:c r="D187" s="10" t="str">
        <x:v>08</x:v>
      </x:c>
      <x:c r="E187" s="10" t="str">
        <x:v>observed</x:v>
      </x:c>
      <x:c r="F187" s="10" t="str">
        <x:v>Link operational objects</x:v>
      </x:c>
      <x:c r="G187" s="10" t="str">
        <x:v>Notes/tasks/markers can link locations to run-of-show, equipment, entrances, credentials, vendors, incidents, and checklist items.</x:v>
      </x:c>
      <x:c r="H187" s="10" t="str">
        <x:v>ADM-WF-013</x:v>
      </x:c>
      <x:c r="I187" s="10" t="str"/>
      <x:c r="J187" s="10" t="str">
        <x:v>Historical feature-spec progress ledger: done — Operational links: notes/tasks/markers → 9 target types; groupLinksByTargetType</x:v>
      </x:c>
    </x:row>
    <x:row r="188" ht="42" customHeight="1">
      <x:c r="A188" s="10" t="str">
        <x:v>MAP-303</x:v>
      </x:c>
      <x:c r="B188" s="11" t="n">
        <x:v>187</x:v>
      </x:c>
      <x:c r="C188" s="11" t="n">
        <x:v>3</x:v>
      </x:c>
      <x:c r="D188" s="10" t="str">
        <x:v>08</x:v>
      </x:c>
      <x:c r="E188" s="10" t="str">
        <x:v>observed</x:v>
      </x:c>
      <x:c r="F188" s="10" t="str">
        <x:v>Harden file/token access</x:v>
      </x:c>
      <x:c r="G188" s="10" t="str">
        <x:v>Original/derived assets require org/grant/token checks, signed short-lived URLs, scan/type/size validation, expiry/revocation, and access logs.</x:v>
      </x:c>
      <x:c r="H188" s="10" t="str">
        <x:v>ADM-WF-013</x:v>
      </x:c>
      <x:c r="I188" s="10" t="str"/>
      <x:c r="J188" s="10" t="str">
        <x:v>Historical feature-spec progress ledger: done — File/token: type/size/MIME gate + MapShareToken (inactive/expired/revoked/max_uses) + access log struct</x:v>
      </x:c>
    </x:row>
    <x:row r="189" ht="42" customHeight="1">
      <x:c r="A189" s="10" t="str">
        <x:v>MAP-304</x:v>
      </x:c>
      <x:c r="B189" s="11" t="n">
        <x:v>188</x:v>
      </x:c>
      <x:c r="C189" s="11" t="n">
        <x:v>3</x:v>
      </x:c>
      <x:c r="D189" s="10" t="str">
        <x:v>08</x:v>
      </x:c>
      <x:c r="E189" s="10" t="str">
        <x:v>observed</x:v>
      </x:c>
      <x:c r="F189" s="10" t="str">
        <x:v>Add review/approval workflow</x:v>
      </x:c>
      <x:c r="G189" s="10" t="str">
        <x:v>Internal/external collaborator comments, requested changes, resolved threads, approver, and approved version are visible.</x:v>
      </x:c>
      <x:c r="H189" s="10" t="str">
        <x:v>ADM-WF-013</x:v>
      </x:c>
      <x:c r="I189" s="10" t="str"/>
      <x:c r="J189" s="10" t="str">
        <x:v>Historical feature-spec progress ledger: done — Review/approval: comment threads + change requests + approval + computeMapReviewSummary</x:v>
      </x:c>
    </x:row>
    <x:row r="190" ht="42" customHeight="1">
      <x:c r="A190" s="10" t="str">
        <x:v>MAP-305</x:v>
      </x:c>
      <x:c r="B190" s="11" t="n">
        <x:v>189</x:v>
      </x:c>
      <x:c r="C190" s="11" t="n">
        <x:v>3</x:v>
      </x:c>
      <x:c r="D190" s="10" t="str">
        <x:v>08</x:v>
      </x:c>
      <x:c r="E190" s="10" t="str">
        <x:v>observed</x:v>
      </x:c>
      <x:c r="F190" s="10" t="str">
        <x:v>Publish map projections</x:v>
      </x:c>
      <x:c r="G190" s="10" t="str">
        <x:v>Day sheet/tour book references exact approved map version; worker/vendor/public variants hide restricted layers and remain accessible offline as permitted.</x:v>
      </x:c>
      <x:c r="H190" s="10" t="str">
        <x:v>ADM-WF-013</x:v>
      </x:c>
      <x:c r="I190" s="10" t="str"/>
      <x:c r="J190" s="10" t="str">
        <x:v>Historical feature-spec progress ledger: done — Projection: audience layer filter + version pin + offline token + assertMapProjectionVersionPin</x:v>
      </x:c>
    </x:row>
    <x:row r="191" ht="42" customHeight="1">
      <x:c r="A191" s="10" t="str">
        <x:v>PUB-301</x:v>
      </x:c>
      <x:c r="B191" s="11" t="n">
        <x:v>190</x:v>
      </x:c>
      <x:c r="C191" s="11" t="n">
        <x:v>3</x:v>
      </x:c>
      <x:c r="D191" s="10" t="str">
        <x:v>04</x:v>
      </x:c>
      <x:c r="E191" s="10" t="str">
        <x:v>observed</x:v>
      </x:c>
      <x:c r="F191" s="10" t="str">
        <x:v>Create composable tour-book sections</x:v>
      </x:c>
      <x:c r="G191" s="10" t="str">
        <x:v>Itinerary, contacts, travel, lodging, schedules, advance, maps, hospitality, equipment, tickets/credentials, and emergency info render through versioned section contracts.</x:v>
      </x:c>
      <x:c r="H191" s="10" t="str">
        <x:v>ADM-WF-004; ADM-WF-012</x:v>
      </x:c>
      <x:c r="I191" s="10" t="str"/>
      <x:c r="J191" s="10" t="str">
        <x:v>Historical feature-spec progress ledger: done — 11 section keys + SECTION_AUDIENCE_CLASS/REQUIRED/CONTRACT_VERSION + buildTourBookSection + summariseTourBookAssembly</x:v>
      </x:c>
    </x:row>
    <x:row r="192" ht="42" customHeight="1">
      <x:c r="A192" s="10" t="str">
        <x:v>PUB-302</x:v>
      </x:c>
      <x:c r="B192" s="11" t="n">
        <x:v>191</x:v>
      </x:c>
      <x:c r="C192" s="11" t="n">
        <x:v>3</x:v>
      </x:c>
      <x:c r="D192" s="10" t="str">
        <x:v>04</x:v>
      </x:c>
      <x:c r="E192" s="10" t="str">
        <x:v>observed</x:v>
      </x:c>
      <x:c r="F192" s="10" t="str">
        <x:v>Add recipient-specific projections</x:v>
      </x:c>
      <x:c r="G192" s="10" t="str">
        <x:v>A worker/vendor/public viewer receives only permitted sections/fields; snapshot manifest records projection version and test fixture proves no data leakage.</x:v>
      </x:c>
      <x:c r="H192" s="10" t="str">
        <x:v>ADM-WF-004; ADM-WF-012</x:v>
      </x:c>
      <x:c r="I192" s="10" t="str"/>
      <x:c r="J192" s="10" t="str">
        <x:v>Historical feature-spec progress ledger: done — AUDIENCE_VISIBILITY matrix + projectSectionsForRecipient + assertNoProjectionLeak; projection_policy_version recorded</x:v>
      </x:c>
    </x:row>
    <x:row r="193" ht="42" customHeight="1">
      <x:c r="A193" s="10" t="str">
        <x:v>PUB-303</x:v>
      </x:c>
      <x:c r="B193" s="11" t="n">
        <x:v>192</x:v>
      </x:c>
      <x:c r="C193" s="11" t="n">
        <x:v>3</x:v>
      </x:c>
      <x:c r="D193" s="10" t="str">
        <x:v>04</x:v>
      </x:c>
      <x:c r="E193" s="10" t="str">
        <x:v>observed</x:v>
      </x:c>
      <x:c r="F193" s="10" t="str">
        <x:v>Add mobile/offline package</x:v>
      </x:c>
      <x:c r="G193" s="10" t="str">
        <x:v>Authorized content can be cached with encrypted/local policy, expiry, sync status, and revoked/superseded warning; sensitive content follows platform security constraints.</x:v>
      </x:c>
      <x:c r="H193" s="10" t="str">
        <x:v>ADM-WF-004; ADM-WF-012</x:v>
      </x:c>
      <x:c r="I193" s="10" t="str"/>
      <x:c r="J193" s="10" t="str">
        <x:v>Historical feature-spec progress ledger: done — SECTION_OFFLINE_POLICY (cacheable/session_only/no_cache) + buildOfflinePackageManifest + offlinePackageIsUsable; encryption_hint</x:v>
      </x:c>
    </x:row>
    <x:row r="194" ht="42" customHeight="1">
      <x:c r="A194" s="10" t="str">
        <x:v>REP-301</x:v>
      </x:c>
      <x:c r="B194" s="11" t="n">
        <x:v>193</x:v>
      </x:c>
      <x:c r="C194" s="11" t="n">
        <x:v>3</x:v>
      </x:c>
      <x:c r="D194" s="10" t="str">
        <x:v>13</x:v>
      </x:c>
      <x:c r="E194" s="10" t="str">
        <x:v>observed</x:v>
      </x:c>
      <x:c r="F194" s="10" t="str">
        <x:v>Route/logistics dashboard</x:v>
      </x:c>
      <x:c r="G194" s="10" t="str">
        <x:v>Uses normalized legs/manifests/rooms/equipment/meals; completeness and risks have defined denominators, freshness, owner and drilldown.</x:v>
      </x:c>
      <x:c r="H194" s="10" t="str">
        <x:v>ADM-WF-017</x:v>
      </x:c>
      <x:c r="I194" s="10" t="str"/>
      <x:c r="J194" s="10" t="str">
        <x:v>Historical feature-spec progress ledger: done — 18 metrics (4 route + 3 travel + 2 lodging + 3 equipment + 3 catering + 3 tasks); denominator/pct/state/severity/freshness/owner/drilldown; worstState aggregation</x:v>
      </x:c>
    </x:row>
    <x:row r="195" ht="42" customHeight="1">
      <x:c r="A195" s="10" t="str">
        <x:v>REL-301</x:v>
      </x:c>
      <x:c r="B195" s="11" t="n">
        <x:v>194</x:v>
      </x:c>
      <x:c r="C195" s="11" t="n">
        <x:v>3</x:v>
      </x:c>
      <x:c r="D195" s="10" t="str">
        <x:v>14</x:v>
      </x:c>
      <x:c r="E195" s="10" t="str">
        <x:v>observed</x:v>
      </x:c>
      <x:c r="F195" s="10" t="str">
        <x:v>Add time/currency/location test library</x:v>
      </x:c>
      <x:c r="G195" s="10" t="str">
        <x:v>DST, time-zone transitions, local-day boundaries, currencies/exponents/FX/rounding and address/location edge cases are reusable across domains.</x:v>
      </x:c>
      <x:c r="H195" s="10" t="str">
        <x:v>ADM-WF-017</x:v>
      </x:c>
      <x:c r="I195" s="10" t="str"/>
      <x:c r="J195" s="10" t="str">
        <x:v>Historical feature-spec progress ledger: done — DST gap/fold fixtures (4+3), local-day fixtures + utcToLocalDate/Hour helpers; overnight leg detection; 12 currency exponents + minor-unit conversions; roundHalfEven/roundHalfUp + convertCurrency + sumMinorUnits; 10 address edge cases + validateLogisticsAddress</x:v>
      </x:c>
    </x:row>
    <x:row r="196" ht="42" customHeight="1">
      <x:c r="A196" s="10" t="str">
        <x:v>WORK-401</x:v>
      </x:c>
      <x:c r="B196" s="11" t="n">
        <x:v>195</x:v>
      </x:c>
      <x:c r="C196" s="11" t="n">
        <x:v>4</x:v>
      </x:c>
      <x:c r="D196" s="10" t="str">
        <x:v>06</x:v>
      </x:c>
      <x:c r="E196" s="10" t="str">
        <x:v>observed</x:v>
      </x:c>
      <x:c r="F196" s="10" t="str">
        <x:v>Create tour party model</x:v>
      </x:c>
      <x:c r="G196" s="10" t="str">
        <x:v>Members have scoped dates, role/department, assignment status, traveler attributes, Work Mode link, and restricted personal-field access.</x:v>
      </x:c>
      <x:c r="H196" s="10" t="str">
        <x:v>ADM-WF-008</x:v>
      </x:c>
      <x:c r="I196" s="10" t="str"/>
      <x:c r="J196" s="10" t="str">
        <x:v>Historical feature-spec progress ledger: done — 7-status lifecycle (draft/offered/accepted/declined/confirmed/released/cancelled); date scoping; 5-level field projection; Work Mode link; party summary; 39 tests</x:v>
      </x:c>
    </x:row>
    <x:row r="197" ht="42" customHeight="1">
      <x:c r="A197" s="10" t="str">
        <x:v>WORK-402</x:v>
      </x:c>
      <x:c r="B197" s="11" t="n">
        <x:v>196</x:v>
      </x:c>
      <x:c r="C197" s="11" t="n">
        <x:v>4</x:v>
      </x:c>
      <x:c r="D197" s="10" t="str">
        <x:v>06</x:v>
      </x:c>
      <x:c r="E197" s="10" t="str">
        <x:v>observed</x:v>
      </x:c>
      <x:c r="F197" s="10" t="str">
        <x:v>Build tour-wide staffing matrix</x:v>
      </x:c>
      <x:c r="G197" s="10" t="str">
        <x:v>Rows/columns support roles, people, stops/days, coverage, open positions, conflicts, and filters; travel/non-venue days are first-class.</x:v>
      </x:c>
      <x:c r="H197" s="10" t="str">
        <x:v>ADM-WF-008</x:v>
      </x:c>
      <x:c r="I197" s="10" t="str"/>
      <x:c r="J197" s="10" t="str">
        <x:v>Historical feature-spec progress ledger: done — 6 column types (show/travel/rehearsal/warehouse/rest/other); filled/partial/open/conflict/N/A cell states; availability-block + status-invalid conflicts; department/type/date/state filters; open-position query; 22 tests</x:v>
      </x:c>
    </x:row>
    <x:row r="198" ht="42" customHeight="1">
      <x:c r="A198" s="10" t="str">
        <x:v>WORK-403</x:v>
      </x:c>
      <x:c r="B198" s="11" t="n">
        <x:v>197</x:v>
      </x:c>
      <x:c r="C198" s="11" t="n">
        <x:v>4</x:v>
      </x:c>
      <x:c r="D198" s="10" t="str">
        <x:v>06</x:v>
      </x:c>
      <x:c r="E198" s="10" t="str">
        <x:v>observed</x:v>
      </x:c>
      <x:c r="F198" s="10" t="str">
        <x:v>Add role/headcount templates</x:v>
      </x:c>
      <x:c r="G198" s="10" t="str">
        <x:v>Organization-owned versioned templates define required roles/counts by event type/scale and can be applied with preview, not silent creation.</x:v>
      </x:c>
      <x:c r="H198" s="10" t="str">
        <x:v>ADM-WF-008</x:v>
      </x:c>
      <x:c r="I198" s="10" t="str"/>
      <x:c r="J198" s="10" t="str">
        <x:v>Historical feature-spec progress ledger: done — 3-status lifecycle (draft/published/archived); TemplateRole (slot_id, role, dept, headcount, is_required, skill_tags, applies_to_column_types); previewTemplateApplication (create/skip/conflict diff, override mode); executeTemplateApplication (blocked on conflicts); findMatchingTemplates (exact→type/any→any fallback); 26 tests</x:v>
      </x:c>
    </x:row>
    <x:row r="199" ht="42" customHeight="1">
      <x:c r="A199" s="10" t="str">
        <x:v>WORK-404</x:v>
      </x:c>
      <x:c r="B199" s="11" t="n">
        <x:v>198</x:v>
      </x:c>
      <x:c r="C199" s="11" t="n">
        <x:v>4</x:v>
      </x:c>
      <x:c r="D199" s="10" t="str">
        <x:v>06</x:v>
      </x:c>
      <x:c r="E199" s="10" t="str">
        <x:v>observed</x:v>
      </x:c>
      <x:c r="F199" s="10" t="str">
        <x:v>Add availability and time-off</x:v>
      </x:c>
      <x:c r="G199" s="10" t="str">
        <x:v>Workers/managers enter intervals/recurrence with time zone and approval/source; scheduling conflict engine uses persisted truth.</x:v>
      </x:c>
      <x:c r="H199" s="10" t="str">
        <x:v>ADM-WF-008</x:v>
      </x:c>
      <x:c r="I199" s="10" t="str"/>
      <x:c r="J199" s="10" t="str">
        <x:v>Historical feature-spec progress ledger: done — TimeOff 4-status lifecycle; dateRangesOverlap; expandRecurrence (none/weekly/biweekly/monthly + days_of_week + until_date); 4-type conflict engine (time_off_approved/pending/marked_unavailable/outside_availability); checkBulkAvailability; 26 tests</x:v>
      </x:c>
    </x:row>
    <x:row r="200" ht="42" customHeight="1">
      <x:c r="A200" s="10" t="str">
        <x:v>WORK-405</x:v>
      </x:c>
      <x:c r="B200" s="11" t="n">
        <x:v>199</x:v>
      </x:c>
      <x:c r="C200" s="11" t="n">
        <x:v>4</x:v>
      </x:c>
      <x:c r="D200" s="10" t="str">
        <x:v>06</x:v>
      </x:c>
      <x:c r="E200" s="10" t="str">
        <x:v>observed</x:v>
      </x:c>
      <x:c r="F200" s="10" t="str">
        <x:v>Add skills and credentials</x:v>
      </x:c>
      <x:c r="G200" s="10" t="str">
        <x:v>Roles declare requirements; worker credentials have issuer/expiry/verification/files; missing/expiring requirements block or warn by policy.</x:v>
      </x:c>
      <x:c r="H200" s="10" t="str">
        <x:v>ADM-WF-008</x:v>
      </x:c>
      <x:c r="I200" s="10" t="str"/>
      <x:c r="J200" s="10" t="str">
        <x:v>Historical feature-spec progress ledger: done — 7 credential types; 5 verification statuses; CredentialRequirement (type/name/min_level/requires_verification/warn_days/missing_policy/expired_policy); checkRoleCredentials (met/met_expiring/missing/expired/unverified/insufficient_level); checkBulkCredentials; 24 tests</x:v>
      </x:c>
    </x:row>
    <x:row r="201" ht="42" customHeight="1">
      <x:c r="A201" s="10" t="str">
        <x:v>WORK-406</x:v>
      </x:c>
      <x:c r="B201" s="11" t="n">
        <x:v>200</x:v>
      </x:c>
      <x:c r="C201" s="11" t="n">
        <x:v>4</x:v>
      </x:c>
      <x:c r="D201" s="10" t="str">
        <x:v>06</x:v>
      </x:c>
      <x:c r="E201" s="10" t="str">
        <x:v>observed</x:v>
      </x:c>
      <x:c r="F201" s="10" t="str">
        <x:v>Add labor/rest rule profiles</x:v>
      </x:c>
      <x:c r="G201" s="10" t="str">
        <x:v>Configurable jurisdiction/contract templates detect turnaround, meal/rest, consecutive days, overlap, and travel-work conflicts with documented assumptions.</x:v>
      </x:c>
      <x:c r="H201" s="10" t="str">
        <x:v>ADM-WF-008</x:v>
      </x:c>
      <x:c r="I201" s="10" t="str"/>
      <x:c r="J201" s="10" t="str">
        <x:v>Historical feature-spec progress ledger: done — 3 built-in profiles (IATSE/EU/BASIC); 5 checkers; checkLaborRules aggregator; 25 tests</x:v>
      </x:c>
    </x:row>
    <x:row r="202" ht="42" customHeight="1">
      <x:c r="A202" s="10" t="str">
        <x:v>WORK-407</x:v>
      </x:c>
      <x:c r="B202" s="11" t="n">
        <x:v>201</x:v>
      </x:c>
      <x:c r="C202" s="11" t="n">
        <x:v>4</x:v>
      </x:c>
      <x:c r="D202" s="10" t="str">
        <x:v>06</x:v>
      </x:c>
      <x:c r="E202" s="10" t="str">
        <x:v>observed</x:v>
      </x:c>
      <x:c r="F202" s="10" t="str">
        <x:v>Add schedule templates</x:v>
      </x:c>
      <x:c r="G202" s="10" t="str">
        <x:v>Versioned templates derive calls from event milestones or fixed local times; preview shows shifts, unresolved roles, conflicts, and estimated cost.</x:v>
      </x:c>
      <x:c r="H202" s="10" t="str">
        <x:v>ADM-WF-008</x:v>
      </x:c>
      <x:c r="I202" s="10" t="str"/>
      <x:c r="J202" s="10" t="str">
        <x:v>Historical feature-spec progress ledger: done — Versioned templates; milestone_offset + fixed_local_time anchors; previewScheduleTemplate (unresolved/conflict/locked_conflict/new + cost est.); applyScheduleTemplate (idempotent; skip locked/conflict/unresolved; override_soft); 23 tests</x:v>
      </x:c>
    </x:row>
    <x:row r="203" ht="42" customHeight="1">
      <x:c r="A203" s="10" t="str">
        <x:v>WORK-408</x:v>
      </x:c>
      <x:c r="B203" s="11" t="n">
        <x:v>202</x:v>
      </x:c>
      <x:c r="C203" s="11" t="n">
        <x:v>4</x:v>
      </x:c>
      <x:c r="D203" s="10" t="str">
        <x:v>06</x:v>
      </x:c>
      <x:c r="E203" s="10" t="str">
        <x:v>observed</x:v>
      </x:c>
      <x:c r="F203" s="10" t="str">
        <x:v>Generate shifts transactionally</x:v>
      </x:c>
      <x:c r="G203" s="10" t="str">
        <x:v>Bulk generation is idempotent, supports event/travel/rehearsal/warehouse/other days, respects locked edits, and returns complete item-level result.</x:v>
      </x:c>
      <x:c r="H203" s="10" t="str">
        <x:v>ADM-WF-008</x:v>
      </x:c>
      <x:c r="I203" s="10" t="str"/>
      <x:c r="J203" s="10" t="str">
        <x:v>Historical feature-spec progress ledger: done — Idempotent bulk engine; 5 day types; per-candidate result (created/duplicate_idempotency/locked_conflict/soft_conflict/invalid_window); override_soft; skip_summary; 17 tests</x:v>
      </x:c>
    </x:row>
    <x:row r="204" ht="42" customHeight="1">
      <x:c r="A204" s="10" t="str">
        <x:v>WORK-409</x:v>
      </x:c>
      <x:c r="B204" s="11" t="n">
        <x:v>203</x:v>
      </x:c>
      <x:c r="C204" s="11" t="n">
        <x:v>4</x:v>
      </x:c>
      <x:c r="D204" s="10" t="str">
        <x:v>06</x:v>
      </x:c>
      <x:c r="E204" s="10" t="str">
        <x:v>observed</x:v>
      </x:c>
      <x:c r="F204" s="10" t="str">
        <x:v>Add assignment workflow</x:v>
      </x:c>
      <x:c r="G204" s="10" t="str">
        <x:v>Draft/offered/accepted/declined/confirmed/released/cancelled states, reason, deadlines, reminders, replacement workflow, and audit are implemented.</x:v>
      </x:c>
      <x:c r="H204" s="10" t="str">
        <x:v>ADM-WF-008</x:v>
      </x:c>
      <x:c r="I204" s="10" t="str"/>
      <x:c r="J204" s="10" t="str">
        <x:v>Historical feature-spec progress ledger: done — 7-status lifecycle; transitionAssignment (reason required for decline/release); offerAssignment; checkReminderEligibility (gap, deadline, status); markReminderSent; requestReplacement (declined/released only, no double-request); summarizeAssignments (by_status + needs_replacement + overdue); 27 tests</x:v>
      </x:c>
    </x:row>
    <x:row r="205" ht="42" customHeight="1">
      <x:c r="A205" s="10" t="str">
        <x:v>WORK-410</x:v>
      </x:c>
      <x:c r="B205" s="11" t="n">
        <x:v>204</x:v>
      </x:c>
      <x:c r="C205" s="11" t="n">
        <x:v>4</x:v>
      </x:c>
      <x:c r="D205" s="10" t="str">
        <x:v>06</x:v>
      </x:c>
      <x:c r="E205" s="10" t="str">
        <x:v>observed</x:v>
      </x:c>
      <x:c r="F205" s="10" t="str">
        <x:v>Add conflict resolution UI</x:v>
      </x:c>
      <x:c r="G205" s="10" t="str">
        <x:v>Conflict explains rule/evidence/severity/affected assignments and supports authorized override with reason or direct remediation.</x:v>
      </x:c>
      <x:c r="H205" s="10" t="str">
        <x:v>ADM-WF-008</x:v>
      </x:c>
      <x:c r="I205" s="10" t="str"/>
      <x:c r="J205" s="10" t="str">
        <x:v>Historical feature-spec progress ledger: done — Unified conflict model (6 sources); overrideConflict (reason required; no re-override); markConflictRemediated; 3 builder helpers (labor/availability/credential); summarizeConflicts (can_publish gate); 16 tests</x:v>
      </x:c>
    </x:row>
    <x:row r="206" ht="42" customHeight="1">
      <x:c r="A206" s="10" t="str">
        <x:v>WORK-411</x:v>
      </x:c>
      <x:c r="B206" s="11" t="n">
        <x:v>205</x:v>
      </x:c>
      <x:c r="C206" s="11" t="n">
        <x:v>4</x:v>
      </x:c>
      <x:c r="D206" s="10" t="str">
        <x:v>06</x:v>
      </x:c>
      <x:c r="E206" s="10" t="str">
        <x:v>observed</x:v>
      </x:c>
      <x:c r="F206" s="10" t="str">
        <x:v>Add labor cost forecast</x:v>
      </x:c>
      <x:c r="G206" s="10" t="str">
        <x:v>Rate card, overtime/premium assumptions, travel/per diem, estimated hours, currency, and committed/actual forecast feed budget without exposing rates broadly.</x:v>
      </x:c>
      <x:c r="H206" s="10" t="str">
        <x:v>ADM-WF-008</x:v>
      </x:c>
      <x:c r="I206" s="10" t="str"/>
      <x:c r="J206" s="10" t="str">
        <x:v>Historical feature-spec progress ledger: done — RateCard (base/OT multiplier/per diem/travel day rate); computeLaborCostForecast (line items w/ estimated/committed/actual; unknown rate → null total; by_person subtotals; by_department headcount+hours only, no rates); 12 tests</x:v>
      </x:c>
    </x:row>
    <x:row r="207" ht="42" customHeight="1">
      <x:c r="A207" s="10" t="str">
        <x:v>WORK-412</x:v>
      </x:c>
      <x:c r="B207" s="11" t="n">
        <x:v>206</x:v>
      </x:c>
      <x:c r="C207" s="11" t="n">
        <x:v>4</x:v>
      </x:c>
      <x:c r="D207" s="10" t="str">
        <x:v>06</x:v>
      </x:c>
      <x:c r="E207" s="10" t="str">
        <x:v>observed</x:v>
      </x:c>
      <x:c r="F207" s="10" t="str">
        <x:v>Publish schedules through publication service</x:v>
      </x:c>
      <x:c r="G207" s="10" t="str">
        <x:v>Recipient receives exact version/diff, local times, locations/calls, and acknowledgement; failure/retry state is visible.</x:v>
      </x:c>
      <x:c r="H207" s="10" t="str">
        <x:v>ADM-WF-008</x:v>
      </x:c>
      <x:c r="I207" s="10" t="str"/>
      <x:c r="J207" s="10" t="str">
        <x:v>Historical feature-spec progress ledger: done — ScheduleSnapshot versioned model; diffScheduleSnapshots (added/updated/removed/unchanged + change_summary); projectScheduleForRecipient (my_shifts/my_diffs/ack_token/ack_deadline/changes_requiring_ack); buildSchedulePublication; applyDeliveryOutcome (delivered/failed → publishing/published/retrying/failed); applyAcknowledgement (token check, no double-ack); 18 tests</x:v>
      </x:c>
    </x:row>
    <x:row r="208" ht="42" customHeight="1">
      <x:c r="A208" s="10" t="str">
        <x:v>HIRE-401</x:v>
      </x:c>
      <x:c r="B208" s="11" t="n">
        <x:v>207</x:v>
      </x:c>
      <x:c r="C208" s="11" t="n">
        <x:v>4</x:v>
      </x:c>
      <x:c r="D208" s="10" t="str">
        <x:v>06</x:v>
      </x:c>
      <x:c r="E208" s="10" t="str">
        <x:v>observed</x:v>
      </x:c>
      <x:c r="F208" s="10" t="str">
        <x:v>Standardize requisition workflow</x:v>
      </x:c>
      <x:c r="G208" s="10" t="str">
        <x:v>Draft/approval/open/paused/closed states; tour/event/role/dates/headcount/rate/skills/travel and owner are required as configured.</x:v>
      </x:c>
      <x:c r="H208" s="10" t="str">
        <x:v>ADM-WF-007</x:v>
      </x:c>
      <x:c r="I208" s="10" t="str"/>
      <x:c r="J208" s="10" t="str">
        <x:v>Historical feature-spec progress ledger: done — 5-status lifecycle (draft/approval_pending/open/paused/closed); transitionRequisition (approve gate); validateRequisition (invariant + configurable fields); headcount helpers (reserve/release/accept/auto-close); summarizeRequisition (rate withheld); 39 tests</x:v>
      </x:c>
    </x:row>
    <x:row r="209" ht="42" customHeight="1">
      <x:c r="A209" s="10" t="str">
        <x:v>HIRE-402</x:v>
      </x:c>
      <x:c r="B209" s="11" t="n">
        <x:v>208</x:v>
      </x:c>
      <x:c r="C209" s="11" t="n">
        <x:v>4</x:v>
      </x:c>
      <x:c r="D209" s="10" t="str">
        <x:v>06</x:v>
      </x:c>
      <x:c r="E209" s="10" t="str">
        <x:v>observed</x:v>
      </x:c>
      <x:c r="F209" s="10" t="str">
        <x:v>Harden application pipeline</x:v>
      </x:c>
      <x:c r="G209" s="10" t="str">
        <x:v>Stage transitions, notes, interview tasks, decision reasons, consent/retention, duplicate applicant handling, and role-aware exports are complete.</x:v>
      </x:c>
      <x:c r="H209" s="10" t="str">
        <x:v>ADM-WF-007</x:v>
      </x:c>
      <x:c r="I209" s="10" t="str"/>
      <x:c r="J209" s="10" t="str">
        <x:v>Historical feature-spec progress ledger: done — 12-stage pipeline (received→screening→interview→assessment→offer_pending→offer_extended→accepted/declined/withdrawn/rejected/on_hold/duplicate_blocked); transitionApplicationStage (decision_reason required on reject/decline); notes visibility (3 levels); InterviewTask lifecycle + completeInterviewTask + allRequiredInterviewsComplete; ApplicantConsent + retentionExpiryDate; DuplicateApplicationFlag + isDuplicateBlocking; projectApplicationForExport (role-aware PII redaction); summarizePipeline; 35 tests</x:v>
      </x:c>
    </x:row>
    <x:row r="210" ht="42" customHeight="1">
      <x:c r="A210" s="10" t="str">
        <x:v>HIRE-403</x:v>
      </x:c>
      <x:c r="B210" s="11" t="n">
        <x:v>209</x:v>
      </x:c>
      <x:c r="C210" s="11" t="n">
        <x:v>4</x:v>
      </x:c>
      <x:c r="D210" s="10" t="str">
        <x:v>06</x:v>
      </x:c>
      <x:c r="E210" s="10" t="str">
        <x:v>observed</x:v>
      </x:c>
      <x:c r="F210" s="10" t="str">
        <x:v>Build offer/engagement handoff</x:v>
      </x:c>
      <x:c r="G210" s="10" t="str">
        <x:v>Approved candidate creates contract/offer and contingent assignment; failed/declined/expired outcomes reconcile headcount.</x:v>
      </x:c>
      <x:c r="H210" s="10" t="str">
        <x:v>ADM-WF-007</x:v>
      </x:c>
      <x:c r="I210" s="10" t="str"/>
      <x:c r="J210" s="10" t="str">
        <x:v>Historical feature-spec progress ledger: done — OfferRecord 8-status lifecycle + ContingentAssignment; createOfferFromApprovedApplication; acceptOffer (fill headcount + auto-close); failOffer (decline/withdraw/expire/supersede → release reservation); isOfferExpired; summarizeOffer (rate withheld); 25 tests</x:v>
      </x:c>
    </x:row>
    <x:row r="211" ht="42" customHeight="1">
      <x:c r="A211" s="10" t="str">
        <x:v>HIRE-404</x:v>
      </x:c>
      <x:c r="B211" s="11" t="n">
        <x:v>210</x:v>
      </x:c>
      <x:c r="C211" s="11" t="n">
        <x:v>4</x:v>
      </x:c>
      <x:c r="D211" s="10" t="str">
        <x:v>06</x:v>
      </x:c>
      <x:c r="E211" s="10" t="str">
        <x:v>observed</x:v>
      </x:c>
      <x:c r="F211" s="10" t="str">
        <x:v>Version onboarding templates</x:v>
      </x:c>
      <x:c r="G211" s="10" t="str">
        <x:v>Organization owns task/document/acknowledgement templates by role/employment type; changes do not mutate active onboarding.</x:v>
      </x:c>
      <x:c r="H211" s="10" t="str">
        <x:v>ADM-WF-007</x:v>
      </x:c>
      <x:c r="I211" s="10" t="str"/>
      <x:c r="J211" s="10" t="str">
        <x:v>Historical feature-spec progress ledger: done — OnboardingTemplate versioned model (draft/active/archived); createTemplateVersion (archives current, creates draft next; immutable); activateTemplate; applyTemplate (role+employment_type filter; item snapshot); validateTemplateItems (ordinal uniqueness, empty title, document/ack rules); 18 tests</x:v>
      </x:c>
    </x:row>
    <x:row r="212" ht="42" customHeight="1">
      <x:c r="A212" s="10" t="str">
        <x:v>HIRE-405</x:v>
      </x:c>
      <x:c r="B212" s="11" t="n">
        <x:v>211</x:v>
      </x:c>
      <x:c r="C212" s="11" t="n">
        <x:v>4</x:v>
      </x:c>
      <x:c r="D212" s="10" t="str">
        <x:v>06</x:v>
      </x:c>
      <x:c r="E212" s="10" t="str">
        <x:v>observed</x:v>
      </x:c>
      <x:c r="F212" s="10" t="str">
        <x:v>Track onboarding dependencies</x:v>
      </x:c>
      <x:c r="G212" s="10" t="str">
        <x:v>Identity/account invite, documents, credentials, policy, payment/payroll handoff, emergency/travel profile, and equipment issuance have owners/due/status.</x:v>
      </x:c>
      <x:c r="H212" s="10" t="str">
        <x:v>ADM-WF-007</x:v>
      </x:c>
      <x:c r="I212" s="10" t="str"/>
      <x:c r="J212" s="10" t="str">
        <x:v>Historical feature-spec progress ledger: done — 9 dependency categories (identity_invite/document/credential/policy_ack/payment_payroll/emergency_profile/travel_profile/equipment_issuance/task); 5-status lifecycle + transitionOnboardingItem (waive requires reason); completeOnboardingItem/waiveOnboardingItem/blockOnboardingItem; parseDurationDays + computeDueDate (P_D offsets); buildDependencyItems (from instance snapshot); computeOnboardingCompletion (can_complete gate + blocking_items); getOverdueItems; 28 tests</x:v>
      </x:c>
    </x:row>
    <x:row r="213" ht="42" customHeight="1">
      <x:c r="A213" s="10" t="str">
        <x:v>HIRE-406</x:v>
      </x:c>
      <x:c r="B213" s="11" t="n">
        <x:v>212</x:v>
      </x:c>
      <x:c r="C213" s="11" t="n">
        <x:v>4</x:v>
      </x:c>
      <x:c r="D213" s="10" t="str">
        <x:v>06</x:v>
      </x:c>
      <x:c r="E213" s="10" t="str">
        <x:v>observed</x:v>
      </x:c>
      <x:c r="F213" s="10" t="str">
        <x:v>Convert without duplicate identity</x:v>
      </x:c>
      <x:c r="G213" s="10" t="str">
        <x:v>Completion activates organization person/tour role/Work Mode access in one idempotent workflow; rollback/retry cannot duplicate rows.</x:v>
      </x:c>
      <x:c r="H213" s="10" t="str">
        <x:v>ADM-WF-007</x:v>
      </x:c>
      <x:c r="I213" s="10" t="str"/>
      <x:c r="J213" s="10" t="str">
        <x:v>Historical feature-spec progress ledger: done — ConversionRecord step-machine (6 steps in order: create_org_person/create_tour_role/grant_work_mode/update_onboarding/update_offer/update_requisition); markStepComplete (idempotent per step); markStepFailed; rollbackConversion (idempotent; blocks on complete); resetConversionForRetry (failed/rolled_back only; resumes from last completed step); nextPendingStep; isConversionDuplicate; summarizeConversion; conversionIdempotencyKey; 27 tests</x:v>
      </x:c>
    </x:row>
    <x:row r="214" ht="42" customHeight="1">
      <x:c r="A214" s="10" t="str">
        <x:v>ADV-401</x:v>
      </x:c>
      <x:c r="B214" s="11" t="n">
        <x:v>213</x:v>
      </x:c>
      <x:c r="C214" s="11" t="n">
        <x:v>4</x:v>
      </x:c>
      <x:c r="D214" s="10" t="str">
        <x:v>05</x:v>
      </x:c>
      <x:c r="E214" s="10" t="str">
        <x:v>observed</x:v>
      </x:c>
      <x:c r="F214" s="10" t="str">
        <x:v>Create versioned organization templates</x:v>
      </x:c>
      <x:c r="G214" s="10" t="str">
        <x:v>Template sections/fields, conditional requirements, default owners/due offsets, file types, validation, and version history are configurable without changing active advances.</x:v>
      </x:c>
      <x:c r="H214" s="10" t="str">
        <x:v>ADM-WF-004; ADM-WF-013</x:v>
      </x:c>
      <x:c r="I214" s="10" t="str"/>
      <x:c r="J214" s="10" t="str">
        <x:v>Historical feature-spec progress ledger: done — AdvanceTemplate versioned model (draft/active/archived); section/field defs w/ conditional requirements, select/file/validation rules; createAdvanceTemplateVersion (archives current; immutable); activateAdvanceTemplate; validateAdvanceTemplate (sections, field labels, select options, file_config, conditional refs); parseDurationDaysAdv; applyAdvanceTemplate (snapshot, due-date derivation, independence from template mutation); summarizeAdvanceTemplate; 30 tests</x:v>
      </x:c>
    </x:row>
    <x:row r="215" ht="42" customHeight="1">
      <x:c r="A215" s="10" t="str">
        <x:v>ADV-402</x:v>
      </x:c>
      <x:c r="B215" s="11" t="n">
        <x:v>214</x:v>
      </x:c>
      <x:c r="C215" s="11" t="n">
        <x:v>4</x:v>
      </x:c>
      <x:c r="D215" s="10" t="str">
        <x:v>05</x:v>
      </x:c>
      <x:c r="E215" s="10" t="str">
        <x:v>observed</x:v>
      </x:c>
      <x:c r="F215" s="10" t="str">
        <x:v>Build tour-wide advance matrix</x:v>
      </x:c>
      <x:c r="G215" s="10" t="str">
        <x:v>Rows are stops and columns/filters are sections/status/owner/due date; bulk assign/remind/template actions preserve per-event differences.</x:v>
      </x:c>
      <x:c r="H215" s="10" t="str">
        <x:v>ADM-WF-004; ADM-WF-013</x:v>
      </x:c>
      <x:c r="I215" s="10" t="str"/>
      <x:c r="J215" s="10" t="str">
        <x:v>Historical feature-spec progress ledger: done — Stop×section matrix; AdvanceMatrixCell/Row; computeRollupStatus (blocked&gt;needs_changes&gt;not_started&gt;in_progress&gt;submitted&gt;approved); buildAdvanceMatrix (not_started default, overdue detection, required counts); filterMatrixRows (section/status/owner/overdue/external/category); previewBulkAssignOwner (overwrite detection); buildBulkRemindTargets (owner+non-terminal); previewBulkApplyTemplate (new/existing/skipped_approved); summarizeAdvanceMatrix; 25 tests</x:v>
      </x:c>
    </x:row>
    <x:row r="216" ht="42" customHeight="1">
      <x:c r="A216" s="10" t="str">
        <x:v>ADV-403</x:v>
      </x:c>
      <x:c r="B216" s="11" t="n">
        <x:v>215</x:v>
      </x:c>
      <x:c r="C216" s="11" t="n">
        <x:v>4</x:v>
      </x:c>
      <x:c r="D216" s="10" t="str">
        <x:v>05</x:v>
      </x:c>
      <x:c r="E216" s="10" t="str">
        <x:v>observed</x:v>
      </x:c>
      <x:c r="F216" s="10" t="str">
        <x:v>Add secure external request flow</x:v>
      </x:c>
      <x:c r="G216" s="10" t="str">
        <x:v>Recipient receives expiring section-scoped link, verifies identity as configured, saves drafts, uploads safely, and cannot enumerate other events/sections.</x:v>
      </x:c>
      <x:c r="H216" s="10" t="str">
        <x:v>ADM-WF-004; ADM-WF-013</x:v>
      </x:c>
      <x:c r="I216" s="10" t="str"/>
      <x:c r="J216" s="10" t="str">
        <x:v>Historical feature-spec progress ledger: done — ExternalAdvanceToken (4-status: active/used/expired/revoked/submitted; section-scoped); isTokenUsable (expiry + access-count check); recordTokenAccess (auto-expire on max_access_count); revokeToken (idempotent); submitToken; checkTokenScope (event+section enumeration ban); verifyExternalIdentity (none/email_match case-insensitive/passcode/magic_link); upsertDraftEntry (idempotent by token+section+field); ExternalUploadSlot + markSlotUploaded/ScanResult/isUploadUsable; 30 tests</x:v>
      </x:c>
    </x:row>
    <x:row r="217" ht="42" customHeight="1">
      <x:c r="A217" s="10" t="str">
        <x:v>ADV-404</x:v>
      </x:c>
      <x:c r="B217" s="11" t="n">
        <x:v>216</x:v>
      </x:c>
      <x:c r="C217" s="11" t="n">
        <x:v>4</x:v>
      </x:c>
      <x:c r="D217" s="10" t="str">
        <x:v>05</x:v>
      </x:c>
      <x:c r="E217" s="10" t="str">
        <x:v>observed</x:v>
      </x:c>
      <x:c r="F217" s="10" t="str">
        <x:v>Add typed response and file validation</x:v>
      </x:c>
      <x:c r="G217" s="10" t="str">
        <x:v>Values have units/time zones, contact structure, revision history, malware-scanned storage, file limits, and clear missing/invalid state.</x:v>
      </x:c>
      <x:c r="H217" s="10" t="str">
        <x:v>ADM-WF-004; ADM-WF-013</x:v>
      </x:c>
      <x:c r="I217" s="10" t="str"/>
      <x:c r="J217" s="10" t="str">
        <x:v>Historical feature-spec progress ledger: done — Typed AdvanceFieldValue (text/number/bool/date/time/datetime/contact/address/file_ref/select/multiselect/richtext); validateFieldValue (missing/invalid/pending_scan/valid; min/max length/value/regex rules; contact+address struct; file limits+MIME+scan clearance); upsertFieldResponse (creates or updates + revision history entry); summarizeSectionValidation (can_submit gate); 39 tests</x:v>
      </x:c>
    </x:row>
    <x:row r="218" ht="42" customHeight="1">
      <x:c r="A218" s="10" t="str">
        <x:v>ADV-405</x:v>
      </x:c>
      <x:c r="B218" s="11" t="n">
        <x:v>217</x:v>
      </x:c>
      <x:c r="C218" s="11" t="n">
        <x:v>4</x:v>
      </x:c>
      <x:c r="D218" s="10" t="str">
        <x:v>05</x:v>
      </x:c>
      <x:c r="E218" s="10" t="str">
        <x:v>observed</x:v>
      </x:c>
      <x:c r="F218" s="10" t="str">
        <x:v>Add section ownership and approval</x:v>
      </x:c>
      <x:c r="G218" s="10" t="str">
        <x:v>Owner, contributor, reviewer, due date, state, comments, change request, approval, and reopen reason are audited.</x:v>
      </x:c>
      <x:c r="H218" s="10" t="str">
        <x:v>ADM-WF-004; ADM-WF-013</x:v>
      </x:c>
      <x:c r="I218" s="10" t="str"/>
      <x:c r="J218" s="10" t="str">
        <x:v>Historical feature-spec progress ledger: done — AdvanceSectionRecord with 6-status lifecycle (not_started/in_progress/submitted/needs_changes/approved/reopened); transitionSectionStatus (reopen requires reason); assignSectionOwner (replaces existing); addSectionParticipant (idempotent); addSectionComment/resolveChangeRequest/hasOpenChangeRequests; changeSectionStatus (approval record + audit); changeSectionDueDate; canApproveSection (submitted + no open CRs); immutable audit trail; 28 tests</x:v>
      </x:c>
    </x:row>
    <x:row r="219" ht="42" customHeight="1">
      <x:c r="A219" s="10" t="str">
        <x:v>ADV-406</x:v>
      </x:c>
      <x:c r="B219" s="11" t="n">
        <x:v>218</x:v>
      </x:c>
      <x:c r="C219" s="11" t="n">
        <x:v>4</x:v>
      </x:c>
      <x:c r="D219" s="10" t="str">
        <x:v>05</x:v>
      </x:c>
      <x:c r="E219" s="10" t="str">
        <x:v>observed</x:v>
      </x:c>
      <x:c r="F219" s="10" t="str">
        <x:v>Add reminder/escalation policy</x:v>
      </x:c>
      <x:c r="G219" s="10" t="str">
        <x:v>Scheduled reminders are deduplicated, respect time zones/preferences, escalate overdue critical sections, and appear in delivery history.</x:v>
      </x:c>
      <x:c r="H219" s="10" t="str">
        <x:v>ADM-WF-004; ADM-WF-013</x:v>
      </x:c>
      <x:c r="I219" s="10" t="str"/>
      <x:c r="J219" s="10" t="str">
        <x:v>Historical feature-spec progress ledger: done — ReminderType (approaching_due/due_today/overdue/escalation); ReminderRecipientPreferences (channels+TZ+DND+opt_out); AdvanceEscalationPolicy; buildReminderDedupKey; scheduleReminder (idempotent dedup); computeReminderSchedule (7d/3d/1d approaching, overdue, critical escalation after threshold); markReminderDispatched (idempotent); shouldSkipReminderDelivery; recordReminderDelivery; 19 tests</x:v>
      </x:c>
    </x:row>
    <x:row r="220" ht="42" customHeight="1">
      <x:c r="A220" s="10" t="str">
        <x:v>ADV-407</x:v>
      </x:c>
      <x:c r="B220" s="11" t="n">
        <x:v>219</x:v>
      </x:c>
      <x:c r="C220" s="11" t="n">
        <x:v>4</x:v>
      </x:c>
      <x:c r="D220" s="10" t="str">
        <x:v>05</x:v>
      </x:c>
      <x:c r="E220" s="10" t="str">
        <x:v>observed</x:v>
      </x:c>
      <x:c r="F220" s="10" t="str">
        <x:v>Add tour-standard variance detection</x:v>
      </x:c>
      <x:c r="G220" s="10" t="str">
        <x:v>Compare local responses with rider/production standards, staffing, route, equipment, hospitality, curfew, and budget; assign exceptions for resolution.</x:v>
      </x:c>
      <x:c r="H220" s="10" t="str">
        <x:v>ADM-WF-004; ADM-WF-013</x:v>
      </x:c>
      <x:c r="I220" s="10" t="str"/>
      <x:c r="J220" s="10" t="str">
        <x:v>Historical feature-spec progress ledger: done — VarianceCategory (7: rider/production/staffing/route/equipment/hospitality/curfew/budget); TourStandardEntry + LocalResponseValue; detectVariances (MISSING flag, numeric tolerance, case-insensitive string compare); assignVarianceFinding; transitionVarianceFinding (waive requires reason; blocks on terminal); summarizeVariances (can_publish gate + by_category); 19 tests</x:v>
      </x:c>
    </x:row>
    <x:row r="221" ht="42" customHeight="1">
      <x:c r="A221" s="10" t="str">
        <x:v>ADV-408</x:v>
      </x:c>
      <x:c r="B221" s="11" t="n">
        <x:v>220</x:v>
      </x:c>
      <x:c r="C221" s="11" t="n">
        <x:v>4</x:v>
      </x:c>
      <x:c r="D221" s="10" t="str">
        <x:v>05</x:v>
      </x:c>
      <x:c r="E221" s="10" t="str">
        <x:v>observed</x:v>
      </x:c>
      <x:c r="F221" s="10" t="str">
        <x:v>Freeze/export approved advance</x:v>
      </x:c>
      <x:c r="G221" s="10" t="str">
        <x:v>Immutable version renders authorized web/PDF package and feeds run-of-show/day-sheet generation; later changes create a new version/diff.</x:v>
      </x:c>
      <x:c r="H221" s="10" t="str">
        <x:v>ADM-WF-004; ADM-WF-013</x:v>
      </x:c>
      <x:c r="I221" s="10" t="str"/>
      <x:c r="J221" s="10" t="str">
        <x:v>Historical feature-spec progress ledger: done — FrozenAdvanceVersion (draft/frozen/superseded); checkFreezeReadiness (unapproved sections + blocking variances); freezeAdvanceVersion (v1 with no previous; v2+ supersedes previous; idempotent); diffFrozenVersions (added/updated/removed/unchanged per section hash); buildExportPackageManifest (role-aware section filter + ros_feed_section_ids); summarizeExportManifest; 15 tests</x:v>
      </x:c>
    </x:row>
    <x:row r="222" ht="42" customHeight="1">
      <x:c r="A222" s="10" t="str">
        <x:v>LIVE-401</x:v>
      </x:c>
      <x:c r="B222" s="11" t="n">
        <x:v>221</x:v>
      </x:c>
      <x:c r="C222" s="11" t="n">
        <x:v>4</x:v>
      </x:c>
      <x:c r="D222" s="10" t="str">
        <x:v>05</x:v>
      </x:c>
      <x:c r="E222" s="10" t="str">
        <x:v>observed</x:v>
      </x:c>
      <x:c r="F222" s="10" t="str">
        <x:v>Create versioned run-of-show timeline</x:v>
      </x:c>
      <x:c r="G222" s="10" t="str">
        <x:v>Items support local/UTC time, duration, dependency, location, owner/role, public/private notes, template source, and actual time.</x:v>
      </x:c>
      <x:c r="H222" s="10" t="str">
        <x:v>ADM-WF-004; ADM-WF-008</x:v>
      </x:c>
      <x:c r="I222" s="10" t="str"/>
      <x:c r="J222" s="10" t="str">
        <x:v>Historical feature-spec progress ledger: done — RosVersion (draft/review/published/superseded/archived); transitionRosVersion; RosItem (local+UTC planned times, duration, dependency/ordered_after, location, owner/role, public+internal notes, template source, actual slot, is_critical, ordinal); makeRosItem factory; addRosItemNote; recordActualTime (non-mutating on planned); addDependency (idempotent + self-dep guard); detectDependencyCycle (DFS); computePlannedEndUtc; publishRosVersion; createNewRosDraft (supersedes published); diffRosItems (added/updated/removed/unchanged + changed_fields); summarizeRosTimeline; 29 tests</x:v>
      </x:c>
    </x:row>
    <x:row r="223" ht="42" customHeight="1">
      <x:c r="A223" s="10" t="str">
        <x:v>LIVE-402</x:v>
      </x:c>
      <x:c r="B223" s="11" t="n">
        <x:v>222</x:v>
      </x:c>
      <x:c r="C223" s="11" t="n">
        <x:v>4</x:v>
      </x:c>
      <x:c r="D223" s="10" t="str">
        <x:v>05</x:v>
      </x:c>
      <x:c r="E223" s="10" t="str">
        <x:v>observed</x:v>
      </x:c>
      <x:c r="F223" s="10" t="str">
        <x:v>Add timeline validation</x:v>
      </x:c>
      <x:c r="G223" s="10" t="str">
        <x:v>Detect overlap, dependency inversion, missing location/owner, travel/load timing conflict, curfew breach, and unstaffed critical item.</x:v>
      </x:c>
      <x:c r="H223" s="10" t="str">
        <x:v>ADM-WF-004; ADM-WF-008</x:v>
      </x:c>
      <x:c r="I223" s="10" t="str"/>
      <x:c r="J223" s="10" t="str">
        <x:v>Historical feature-spec progress ledger: done — 8 validation codes (overlap/dependency_inversion/dependency_cycle/missing_location/missing_owner/travel_load_conflict/curfew_breach/unstaffed_critical); blocking/warning/info severity; validateRosTimeline aggregator; checkOverlaps (same owner+location); checkDependencyInversions; checkDependencyCycles (DFS); checkMissingLocation (category-aware); checkMissingOwner; checkTravelLoadConflicts (configurable gap); checkCurfewBreaches; checkUnstaffedCritical; RosValidationConfig + DEFAULT; 23 tests</x:v>
      </x:c>
    </x:row>
    <x:row r="224" ht="42" customHeight="1">
      <x:c r="A224" s="10" t="str">
        <x:v>LIVE-403</x:v>
      </x:c>
      <x:c r="B224" s="11" t="n">
        <x:v>223</x:v>
      </x:c>
      <x:c r="C224" s="11" t="n">
        <x:v>4</x:v>
      </x:c>
      <x:c r="D224" s="10" t="str">
        <x:v>05</x:v>
      </x:c>
      <x:c r="E224" s="10" t="str">
        <x:v>observed</x:v>
      </x:c>
      <x:c r="F224" s="10" t="str">
        <x:v>Build day-sheet composer</x:v>
      </x:c>
      <x:c r="G224" s="10" t="str">
        <x:v>Pulls canonical travel, lodging, calls/shifts, meals, advance, maps, contacts, weather placeholder/source, and emergency information with field-class policy.</x:v>
      </x:c>
      <x:c r="H224" s="10" t="str">
        <x:v>ADM-WF-004; ADM-WF-008</x:v>
      </x:c>
      <x:c r="I224" s="10" t="str"/>
      <x:c r="J224" s="10" t="str">
        <x:v>Historical feature-spec progress ledger: done — DaySheet composer; 4-level DaySheetFieldClass (public/crew_only/sensitive/management_only); DaySheetCapabilitySet; 9 source domains (ROS items/travel/lodging/calls/meals/contacts/maps/emergency/weather); composeDaySheet (field-class projection); buildDaySheetRosItems (strips internal notes, maps fields); summarizeDaySheet; 16 tests</x:v>
      </x:c>
    </x:row>
    <x:row r="225" ht="42" customHeight="1">
      <x:c r="A225" s="10" t="str">
        <x:v>LIVE-404</x:v>
      </x:c>
      <x:c r="B225" s="11" t="n">
        <x:v>224</x:v>
      </x:c>
      <x:c r="C225" s="11" t="n">
        <x:v>4</x:v>
      </x:c>
      <x:c r="D225" s="10" t="str">
        <x:v>05</x:v>
      </x:c>
      <x:c r="E225" s="10" t="str">
        <x:v>observed</x:v>
      </x:c>
      <x:c r="F225" s="10" t="str">
        <x:v>Publish recipient-specific day sheets</x:v>
      </x:c>
      <x:c r="G225" s="10" t="str">
        <x:v>Uses publication service, version/diff/acknowledgement, and worker offline access; sensitive contacts/travel are audience-filtered.</x:v>
      </x:c>
      <x:c r="H225" s="10" t="str">
        <x:v>ADM-WF-004; ADM-WF-008</x:v>
      </x:c>
      <x:c r="I225" s="10" t="str"/>
      <x:c r="J225" s="10" t="str">
        <x:v>Historical feature-spec progress ledger: done — DaySheetPublication (draft/publishing/published/superseded); buildDaySheetPublication (versioned; previous_publication_id); ProjectedDaySheet per recipient; applyDaySheetAcknowledgement (token check; idempotent); applyDeliveryOutcome (retry_count increment on fail; clears error on success); computeRecipientDiffs (hash-based; new recipient = changed); supersedePublication (idempotent); summarizePublication (ack_pending/ack_complete/delivery_failed/can_supersede); 16 tests</x:v>
      </x:c>
    </x:row>
    <x:row r="226" ht="42" customHeight="1">
      <x:c r="A226" s="10" t="str">
        <x:v>LIVE-405</x:v>
      </x:c>
      <x:c r="B226" s="11" t="n">
        <x:v>225</x:v>
      </x:c>
      <x:c r="C226" s="11" t="n">
        <x:v>4</x:v>
      </x:c>
      <x:c r="D226" s="10" t="str">
        <x:v>05</x:v>
      </x:c>
      <x:c r="E226" s="10" t="str">
        <x:v>observed</x:v>
      </x:c>
      <x:c r="F226" s="10" t="str">
        <x:v>Add day-sheet correction workflow</x:v>
      </x:c>
      <x:c r="G226" s="10" t="str">
        <x:v>Critical changes generate impact-based re-publication and acknowledgement; old version visibly superseded.</x:v>
      </x:c>
      <x:c r="H226" s="10" t="str">
        <x:v>ADM-WF-004; ADM-WF-008</x:v>
      </x:c>
      <x:c r="I226" s="10" t="str"/>
      <x:c r="J226" s="10" t="str">
        <x:v>Historical feature-spec progress ledger: done — CorrectionSeverity (informational/moderate/critical); CorrectedDomain (9 types); assessCorrectionImpact (CRITICAL_DOMAINS: ros_item/travel/emergency/call_shift; critical wins mixed); createCorrection (auto-severity + reack_required_user_ids); approveCorrection; applyCorrection (supersedes pub; status=superseded_publication); invalidateAcknowledgements (reset token+deadline for reack recipients; non-reack untouched); summarizeCorrection; 17 tests</x:v>
      </x:c>
    </x:row>
    <x:row r="227" ht="42" customHeight="1">
      <x:c r="A227" s="10" t="str">
        <x:v>LIVE-406</x:v>
      </x:c>
      <x:c r="B227" s="11" t="n">
        <x:v>226</x:v>
      </x:c>
      <x:c r="C227" s="11" t="n">
        <x:v>4</x:v>
      </x:c>
      <x:c r="D227" s="10" t="str">
        <x:v>05</x:v>
      </x:c>
      <x:c r="E227" s="10" t="str">
        <x:v>observed</x:v>
      </x:c>
      <x:c r="F227" s="10" t="str">
        <x:v>Establish scoped realtime channel</x:v>
      </x:c>
      <x:c r="G227" s="10" t="str">
        <x:v>Authorization is rechecked at subscribe and relevant permission changes; messages/events carry sequence and support reconnect/catch-up.</x:v>
      </x:c>
      <x:c r="H227" s="10" t="str">
        <x:v>ADM-WF-004; ADM-WF-008</x:v>
      </x:c>
      <x:c r="I227" s="10" t="str"/>
      <x:c r="J227" s="10" t="str">
        <x:v>Historical feature-spec progress ledger: done — RealtimeChannelScope (org/event/sub_scope: all/department/role_group/management); checkChannelAuthorization (org check + capability gate + re-auth pattern); createSubscription/revokeSubscription (idempotent)/markAuthChecked; ReplayBuffer + appendToBuffer (ring eviction) + getCatchUpMessages (seq&gt;lastSeq, sorted); nextSequenceNumber (monotonic counter); isMessageVisibleToSubscriber (scope filter + revoked guard); detectMessageGap; summarizeChannel; 22 tests</x:v>
      </x:c>
    </x:row>
    <x:row r="228" ht="42" customHeight="1">
      <x:c r="A228" s="10" t="str">
        <x:v>LIVE-407</x:v>
      </x:c>
      <x:c r="B228" s="11" t="n">
        <x:v>227</x:v>
      </x:c>
      <x:c r="C228" s="11" t="n">
        <x:v>4</x:v>
      </x:c>
      <x:c r="D228" s="10" t="str">
        <x:v>05</x:v>
      </x:c>
      <x:c r="E228" s="10" t="str">
        <x:v>observed</x:v>
      </x:c>
      <x:c r="F228" s="10" t="str">
        <x:v>Unify live tasks</x:v>
      </x:c>
      <x:c r="G228" s="10" t="str">
        <x:v>Tasks link timeline/map/equipment/person/vendor, support priority/status/owner/due/blocked reason, and preserve audit without duplicating logistics categories.</x:v>
      </x:c>
      <x:c r="H228" s="10" t="str">
        <x:v>ADM-WF-004; ADM-WF-008</x:v>
      </x:c>
      <x:c r="I228" s="10" t="str"/>
      <x:c r="J228" s="10" t="str">
        <x:v>Historical feature-spec progress ledger: done — LiveTask model: 5 ref types + priority/status/owner/due/blocked_reason + audit; does not duplicate logistics taxonomy; 37 tests</x:v>
      </x:c>
    </x:row>
    <x:row r="229" ht="42" customHeight="1">
      <x:c r="A229" s="10" t="str">
        <x:v>LIVE-408</x:v>
      </x:c>
      <x:c r="B229" s="11" t="n">
        <x:v>228</x:v>
      </x:c>
      <x:c r="C229" s="11" t="n">
        <x:v>4</x:v>
      </x:c>
      <x:c r="D229" s="10" t="str">
        <x:v>05</x:v>
      </x:c>
      <x:c r="E229" s="10" t="str">
        <x:v>observed</x:v>
      </x:c>
      <x:c r="F229" s="10" t="str">
        <x:v>Implement incident workflow</x:v>
      </x:c>
      <x:c r="G229" s="10" t="str">
        <x:v>Severity, privacy, reporter, participants, response owner, escalation, resolution, follow-up, files, and restricted audit are complete; emergency copy is reviewed.</x:v>
      </x:c>
      <x:c r="H229" s="10" t="str">
        <x:v>ADM-WF-004; ADM-WF-008</x:v>
      </x:c>
      <x:c r="I229" s="10" t="str"/>
      <x:c r="J229" s="10" t="str">
        <x:v>Historical feature-spec progress ledger: done — Incident: 6-status lifecycle + severity/privacy/participants/response_owner/escalation/resolution/follow-up/evidence/emergency_copy_review + restricted audit projection; 39 tests</x:v>
      </x:c>
    </x:row>
    <x:row r="230" ht="42" customHeight="1">
      <x:c r="A230" s="10" t="str">
        <x:v>LIVE-409</x:v>
      </x:c>
      <x:c r="B230" s="11" t="n">
        <x:v>229</x:v>
      </x:c>
      <x:c r="C230" s="11" t="n">
        <x:v>4</x:v>
      </x:c>
      <x:c r="D230" s="10" t="str">
        <x:v>05</x:v>
      </x:c>
      <x:c r="E230" s="10" t="str">
        <x:v>observed</x:v>
      </x:c>
      <x:c r="F230" s="10" t="str">
        <x:v>Harden check-in</x:v>
      </x:c>
      <x:c r="G230" s="10" t="str">
        <x:v>Eligibility derives from credential/assignment; duplicate/offline/manual/denied/revoked cases are handled; operator/device and reason are audited.</x:v>
      </x:c>
      <x:c r="H230" s="10" t="str">
        <x:v>ADM-WF-004; ADM-WF-008</x:v>
      </x:c>
      <x:c r="I230" s="10" t="str"/>
      <x:c r="J230" s="10" t="str">
        <x:v>Historical feature-spec progress ledger: done — Check-in: eligibility from credential/assignment; admit/deny/duplicate/revoked/offline_queued outcomes; offline queue flush (idempotent); manual override; operator/device audit; 23 tests</x:v>
      </x:c>
    </x:row>
    <x:row r="231" ht="42" customHeight="1">
      <x:c r="A231" s="10" t="str">
        <x:v>LIVE-410</x:v>
      </x:c>
      <x:c r="B231" s="11" t="n">
        <x:v>230</x:v>
      </x:c>
      <x:c r="C231" s="11" t="n">
        <x:v>4</x:v>
      </x:c>
      <x:c r="D231" s="10" t="str">
        <x:v>05</x:v>
      </x:c>
      <x:c r="E231" s="10" t="str">
        <x:v>observed</x:v>
      </x:c>
      <x:c r="F231" s="10" t="str">
        <x:v>Capture planned versus actual</x:v>
      </x:c>
      <x:c r="G231" s="10" t="str">
        <x:v>Authorized operators mark actual start/end/delay and reason; downstream timeline/notifications update without mutating the published planned version.</x:v>
      </x:c>
      <x:c r="H231" s="10" t="str">
        <x:v>ADM-WF-004; ADM-WF-008</x:v>
      </x:c>
      <x:c r="I231" s="10" t="str"/>
      <x:c r="J231" s="10" t="str">
        <x:v>Historical feature-spec progress ledger: done — ActualRecord overlay (non-mutating on planned); markActualStart/End/Skipped; reportDelay (reason required); computeTimelineVariance; computeVarianceNotification; summarizeActuals; 26 tests</x:v>
      </x:c>
    </x:row>
    <x:row r="232" ht="42" customHeight="1">
      <x:c r="A232" s="10" t="str">
        <x:v>LIVE-411</x:v>
      </x:c>
      <x:c r="B232" s="11" t="n">
        <x:v>231</x:v>
      </x:c>
      <x:c r="C232" s="11" t="n">
        <x:v>4</x:v>
      </x:c>
      <x:c r="D232" s="10" t="str">
        <x:v>05</x:v>
      </x:c>
      <x:c r="E232" s="10" t="str">
        <x:v>observed</x:v>
      </x:c>
      <x:c r="F232" s="10" t="str">
        <x:v>Create event closeout</x:v>
      </x:c>
      <x:c r="G232" s="10" t="str">
        <x:v>Checklist covers incidents, lost/damaged equipment, staff exceptions, attendance, vendor issues, actual timings, documents, and handoff to finance/settlement.</x:v>
      </x:c>
      <x:c r="H232" s="10" t="str">
        <x:v>ADM-WF-004; ADM-WF-008</x:v>
      </x:c>
      <x:c r="I232" s="10" t="str"/>
      <x:c r="J232" s="10" t="str">
        <x:v>Historical feature-spec progress ledger: done — 8-section checklist (incidents/equipment/staff_exceptions/attendance/vendor_issues/actual_timings/documents/finance_handoff); signOffSection (blocked on flagged); flagSection; transitionCloseout (complete blocked unless all signed_off); computeCloseoutCompleteness; recordFinanceHandoff; 16 tests</x:v>
      </x:c>
    </x:row>
    <x:row r="233" ht="42" customHeight="1">
      <x:c r="A233" s="10" t="str">
        <x:v>PLAN-401</x:v>
      </x:c>
      <x:c r="B233" s="11" t="n">
        <x:v>232</x:v>
      </x:c>
      <x:c r="C233" s="11" t="n">
        <x:v>4</x:v>
      </x:c>
      <x:c r="D233" s="10" t="str">
        <x:v>03</x:v>
      </x:c>
      <x:c r="E233" s="10" t="str">
        <x:v>observed</x:v>
      </x:c>
      <x:c r="F233" s="10" t="str">
        <x:v>Add section ownership/approvals</x:v>
      </x:c>
      <x:c r="G233" s="10" t="str">
        <x:v>Route/stop changes can require owner/department approval; pending changes are visible and do not alter published operations prematurely.</x:v>
      </x:c>
      <x:c r="H233" s="10" t="str">
        <x:v>ADM-WF-005</x:v>
      </x:c>
      <x:c r="I233" s="10" t="str"/>
      <x:c r="J233" s="10" t="str">
        <x:v>Historical feature-spec progress ledger: done — PlanSectionOwnership (9 sections, 3 policies); PendingPlanChange lifecycle (pending/approved/rejected/withdrawn); checkApprovalAuthorization; approve/reject/withdraw; summarizePendingChanges; 17 tests</x:v>
      </x:c>
    </x:row>
    <x:row r="234" ht="42" customHeight="1">
      <x:c r="A234" s="10" t="str">
        <x:v>PLAN-402</x:v>
      </x:c>
      <x:c r="B234" s="11" t="n">
        <x:v>233</x:v>
      </x:c>
      <x:c r="C234" s="11" t="n">
        <x:v>4</x:v>
      </x:c>
      <x:c r="D234" s="10" t="str">
        <x:v>03</x:v>
      </x:c>
      <x:c r="E234" s="10" t="str">
        <x:v>observed</x:v>
      </x:c>
      <x:c r="F234" s="10" t="str">
        <x:v>Add presence and conflict-safe collaboration</x:v>
      </x:c>
      <x:c r="G234" s="10" t="str">
        <x:v>Active editor/presence is optional; version conflicts and comments resolve without data loss; notification noise is controlled.</x:v>
      </x:c>
      <x:c r="H234" s="10" t="str">
        <x:v>ADM-WF-005</x:v>
      </x:c>
      <x:c r="I234" s="10" t="str"/>
      <x:c r="J234" s="10" t="str">
        <x:v>Historical feature-spec progress ledger: done — PresenceSession (join/leave/heartbeat/getActive); hasVersionConflict + ConflictResolution (3 strategies); PlanComment (thread+resolve+reopen); PlanNotificationPreference (muted_events, idempotent mute/unmute); 21 tests</x:v>
      </x:c>
    </x:row>
    <x:row r="235" ht="42" customHeight="1">
      <x:c r="A235" s="10" t="str">
        <x:v>PUB-401</x:v>
      </x:c>
      <x:c r="B235" s="11" t="n">
        <x:v>234</x:v>
      </x:c>
      <x:c r="C235" s="11" t="n">
        <x:v>4</x:v>
      </x:c>
      <x:c r="D235" s="10" t="str">
        <x:v>04</x:v>
      </x:c>
      <x:c r="E235" s="10" t="str">
        <x:v>observed</x:v>
      </x:c>
      <x:c r="F235" s="10" t="str">
        <x:v>Unify Work Mode assignments</x:v>
      </x:c>
      <x:c r="G235" s="10" t="str">
        <x:v>Publication creates/updates stable worker-facing assignment references rather than best-effort duplicates; role/shift changes reconcile deterministically.</x:v>
      </x:c>
      <x:c r="H235" s="10" t="str">
        <x:v>ADM-WF-004; ADM-WF-012</x:v>
      </x:c>
      <x:c r="I235" s="10" t="str"/>
      <x:c r="J235" s="10" t="str">
        <x:v>Historical feature-spec progress ledger: done — reconcileWorkModeAssignments (deterministic create/update/withdraw/unchanged); WorkModeAssignment lifecycle; 5 tests</x:v>
      </x:c>
    </x:row>
    <x:row r="236" ht="42" customHeight="1">
      <x:c r="A236" s="10" t="str">
        <x:v>PUB-402</x:v>
      </x:c>
      <x:c r="B236" s="11" t="n">
        <x:v>235</x:v>
      </x:c>
      <x:c r="C236" s="11" t="n">
        <x:v>4</x:v>
      </x:c>
      <x:c r="D236" s="10" t="str">
        <x:v>04</x:v>
      </x:c>
      <x:c r="E236" s="10" t="str">
        <x:v>observed</x:v>
      </x:c>
      <x:c r="F236" s="10" t="str">
        <x:v>Add acknowledgement workflows</x:v>
      </x:c>
      <x:c r="G236" s="10" t="str">
        <x:v>Publisher chooses required recipients/deadline; reminders/escalations are deduplicated; acknowledgement stores version and time.</x:v>
      </x:c>
      <x:c r="H236" s="10" t="str">
        <x:v>ADM-WF-004; ADM-WF-012</x:v>
      </x:c>
      <x:c r="I236" s="10" t="str"/>
      <x:c r="J236" s="10" t="str">
        <x:v>Historical feature-spec progress ledger: done — PublicationAckRecord (pending/acknowledged/overdue/waived); waiveAck/markOverdueAcks/recordReminderSent (idempotent); summarizeAckWorkflow; 10 tests</x:v>
      </x:c>
    </x:row>
    <x:row r="237" ht="42" customHeight="1">
      <x:c r="A237" s="10" t="str">
        <x:v>PUB-403</x:v>
      </x:c>
      <x:c r="B237" s="11" t="n">
        <x:v>236</x:v>
      </x:c>
      <x:c r="C237" s="11" t="n">
        <x:v>4</x:v>
      </x:c>
      <x:c r="D237" s="10" t="str">
        <x:v>04</x:v>
      </x:c>
      <x:c r="E237" s="10" t="str">
        <x:v>observed</x:v>
      </x:c>
      <x:c r="F237" s="10" t="str">
        <x:v>Add structured change notices</x:v>
      </x:c>
      <x:c r="G237" s="10" t="str">
        <x:v>Post-publication change sets identify affected recipients/sections, show before/after in local context, require re-ack when policy says, and link remediation.</x:v>
      </x:c>
      <x:c r="H237" s="10" t="str">
        <x:v>ADM-WF-004; ADM-WF-012</x:v>
      </x:c>
      <x:c r="I237" s="10" t="str"/>
      <x:c r="J237" s="10" t="str">
        <x:v>Historical feature-spec progress ledger: done — PublicationChangeNotice (sections+re_ack_policy+remediation_link+recipients); sendChangeNotice; getReAckRequired/acknowledgeChangeNotice; summarizeChangeNotice; 7 tests</x:v>
      </x:c>
    </x:row>
    <x:row r="238" ht="42" customHeight="1">
      <x:c r="A238" s="10" t="str">
        <x:v>PUB-404</x:v>
      </x:c>
      <x:c r="B238" s="11" t="n">
        <x:v>237</x:v>
      </x:c>
      <x:c r="C238" s="11" t="n">
        <x:v>4</x:v>
      </x:c>
      <x:c r="D238" s="10" t="str">
        <x:v>04</x:v>
      </x:c>
      <x:c r="E238" s="10" t="str">
        <x:v>observed</x:v>
      </x:c>
      <x:c r="F238" s="10" t="str">
        <x:v>Add emergency broadcast</x:v>
      </x:c>
      <x:c r="G238" s="10" t="str">
        <x:v>Authorized high-priority notice supports bounded audience, multi-channel fanout, escalation, clear cancellation/correction, and abuse/audit controls.</x:v>
      </x:c>
      <x:c r="H238" s="10" t="str">
        <x:v>ADM-WF-004; ADM-WF-012</x:v>
      </x:c>
      <x:c r="I238" s="10" t="str"/>
      <x:c r="J238" s="10" t="str">
        <x:v>Historical feature-spec progress ledger: done — EmergencyBroadcast (6 statuses, 3 severities, multi-channel); cancel/supersede/escalate/ack; append-only audit; 14 tests</x:v>
      </x:c>
    </x:row>
    <x:row r="239" ht="42" customHeight="1">
      <x:c r="A239" s="10" t="str">
        <x:v>CAL-401</x:v>
      </x:c>
      <x:c r="B239" s="11" t="n">
        <x:v>238</x:v>
      </x:c>
      <x:c r="C239" s="11" t="n">
        <x:v>4</x:v>
      </x:c>
      <x:c r="D239" s="10" t="str">
        <x:v>12</x:v>
      </x:c>
      <x:c r="E239" s="10" t="str">
        <x:v>observed</x:v>
      </x:c>
      <x:c r="F239" s="10" t="str">
        <x:v>Build canonical calendar read model</x:v>
      </x:c>
      <x:c r="G239" s="10" t="str">
        <x:v>Stable source adapters and cursor/range query return authorized items with freshness/errors and avoid N+1/client fanout.</x:v>
      </x:c>
      <x:c r="H239" s="10" t="str">
        <x:v>ADM-WF-005; ADM-WF-016</x:v>
      </x:c>
      <x:c r="I239" s="10" t="str"/>
      <x:c r="J239" s="10" t="str">
        <x:v>Historical feature-spec progress ledger: done — 10 source types; CalendarReadModel + health; applyCalendarFilter; detectOverlapConflicts; previewCalendarEdit (read-only guard); ICS snapshot; FeedToken lifecycle; 23 tests</x:v>
      </x:c>
    </x:row>
    <x:row r="240" ht="42" customHeight="1">
      <x:c r="A240" s="10" t="str">
        <x:v>CAL-402</x:v>
      </x:c>
      <x:c r="B240" s="11" t="n">
        <x:v>239</x:v>
      </x:c>
      <x:c r="C240" s="11" t="n">
        <x:v>4</x:v>
      </x:c>
      <x:c r="D240" s="10" t="str">
        <x:v>12</x:v>
      </x:c>
      <x:c r="E240" s="10" t="str">
        <x:v>observed</x:v>
      </x:c>
      <x:c r="F240" s="10" t="str">
        <x:v>Add calendar views and filters</x:v>
      </x:c>
      <x:c r="G240" s="10" t="str">
        <x:v>Month/week/day/agenda and tour/stop/person/department/source/status/time-zone filters work accessibly on desktop/mobile; filters preserve scope.</x:v>
      </x:c>
      <x:c r="H240" s="10" t="str">
        <x:v>ADM-WF-005; ADM-WF-016</x:v>
      </x:c>
      <x:c r="I240" s="10" t="str"/>
      <x:c r="J240" s="10" t="str">
        <x:v>Historical feature-spec progress ledger: done — (combined with CAL-401)</x:v>
      </x:c>
    </x:row>
    <x:row r="241" ht="42" customHeight="1">
      <x:c r="A241" s="10" t="str">
        <x:v>CAL-403</x:v>
      </x:c>
      <x:c r="B241" s="11" t="n">
        <x:v>240</x:v>
      </x:c>
      <x:c r="C241" s="11" t="n">
        <x:v>4</x:v>
      </x:c>
      <x:c r="D241" s="10" t="str">
        <x:v>12</x:v>
      </x:c>
      <x:c r="E241" s="10" t="str">
        <x:v>observed</x:v>
      </x:c>
      <x:c r="F241" s="10" t="str">
        <x:v>Add conflict overlays</x:v>
      </x:c>
      <x:c r="G241" s="10" t="str">
        <x:v>Route, travel connection, shift overlap/rest, venue/production, equipment, obligation and deadline conflicts link to owning domain remediation.</x:v>
      </x:c>
      <x:c r="H241" s="10" t="str">
        <x:v>ADM-WF-005; ADM-WF-016</x:v>
      </x:c>
      <x:c r="I241" s="10" t="str"/>
      <x:c r="J241" s="10" t="str">
        <x:v>Historical feature-spec progress ledger: done — (combined with CAL-401)</x:v>
      </x:c>
    </x:row>
    <x:row r="242" ht="42" customHeight="1">
      <x:c r="A242" s="10" t="str">
        <x:v>CAL-404</x:v>
      </x:c>
      <x:c r="B242" s="11" t="n">
        <x:v>241</x:v>
      </x:c>
      <x:c r="C242" s="11" t="n">
        <x:v>4</x:v>
      </x:c>
      <x:c r="D242" s="10" t="str">
        <x:v>12</x:v>
      </x:c>
      <x:c r="E242" s="10" t="str">
        <x:v>observed</x:v>
      </x:c>
      <x:c r="F242" s="10" t="str">
        <x:v>Add drag/edit command preview</x:v>
      </x:c>
      <x:c r="G242" s="10" t="str">
        <x:v>Move/resize shows domain-specific interpretation, time zone, affected records/publications, validation and confirmation; unsupported source is read-only.</x:v>
      </x:c>
      <x:c r="H242" s="10" t="str">
        <x:v>ADM-WF-005; ADM-WF-016</x:v>
      </x:c>
      <x:c r="I242" s="10" t="str"/>
      <x:c r="J242" s="10" t="str">
        <x:v>Historical feature-spec progress ledger: done — (combined with CAL-401)</x:v>
      </x:c>
    </x:row>
    <x:row r="243" ht="42" customHeight="1">
      <x:c r="A243" s="10" t="str">
        <x:v>CAL-405</x:v>
      </x:c>
      <x:c r="B243" s="11" t="n">
        <x:v>242</x:v>
      </x:c>
      <x:c r="C243" s="11" t="n">
        <x:v>4</x:v>
      </x:c>
      <x:c r="D243" s="10" t="str">
        <x:v>12</x:v>
      </x:c>
      <x:c r="E243" s="10" t="str">
        <x:v>observed</x:v>
      </x:c>
      <x:c r="F243" s="10" t="str">
        <x:v>Implement ICS snapshot/export</x:v>
      </x:c>
      <x:c r="G243" s="10" t="str">
        <x:v>Stable UIDs/time zones/sequence/cancellations and audience projection pass common client tests; exports are audited and versioned.</x:v>
      </x:c>
      <x:c r="H243" s="10" t="str">
        <x:v>ADM-WF-005; ADM-WF-016</x:v>
      </x:c>
      <x:c r="I243" s="10" t="str"/>
      <x:c r="J243" s="10" t="str">
        <x:v>Historical feature-spec progress ledger: done — (combined with CAL-401)</x:v>
      </x:c>
    </x:row>
    <x:row r="244" ht="42" customHeight="1">
      <x:c r="A244" s="10" t="str">
        <x:v>CAL-406</x:v>
      </x:c>
      <x:c r="B244" s="11" t="n">
        <x:v>243</x:v>
      </x:c>
      <x:c r="C244" s="11" t="n">
        <x:v>4</x:v>
      </x:c>
      <x:c r="D244" s="10" t="str">
        <x:v>12</x:v>
      </x:c>
      <x:c r="E244" s="10" t="str">
        <x:v>observed</x:v>
      </x:c>
      <x:c r="F244" s="10" t="str">
        <x:v>Implement subscription feeds</x:v>
      </x:c>
      <x:c r="G244" s="10" t="str">
        <x:v>Scoped token creation/rotation/revocation/expiry, access log, rate limit/cache, minimal fields and permission-change behavior are complete.</x:v>
      </x:c>
      <x:c r="H244" s="10" t="str">
        <x:v>ADM-WF-005; ADM-WF-016</x:v>
      </x:c>
      <x:c r="I244" s="10" t="str"/>
      <x:c r="J244" s="10" t="str">
        <x:v>Historical feature-spec progress ledger: done — (combined with CAL-401)</x:v>
      </x:c>
    </x:row>
    <x:row r="245" ht="42" customHeight="1">
      <x:c r="A245" s="10" t="str">
        <x:v>COMMS-401</x:v>
      </x:c>
      <x:c r="B245" s="11" t="n">
        <x:v>244</x:v>
      </x:c>
      <x:c r="C245" s="11" t="n">
        <x:v>4</x:v>
      </x:c>
      <x:c r="D245" s="10" t="str">
        <x:v>12</x:v>
      </x:c>
      <x:c r="E245" s="10" t="str">
        <x:v>observed</x:v>
      </x:c>
      <x:c r="F245" s="10" t="str">
        <x:v>Define channel/audience model</x:v>
      </x:c>
      <x:c r="G245" s="10" t="str">
        <x:v>Membership derives from canonical assignments/grants, supports named exceptions, re-evaluates access, and prevents cross-org discovery.</x:v>
      </x:c>
      <x:c r="H245" s="10" t="str">
        <x:v>ADM-WF-011; ADM-WF-012</x:v>
      </x:c>
      <x:c r="I245" s="10" t="str"/>
      <x:c r="J245" s="10" t="str">
        <x:v>Historical feature-spec progress ledger: done — CommsChannel (cross-org guard, exception_reason); UnifiedInboxItem; outbox retry/dead-letter; quiet hours/override; CommAckRecord (dismiss≠ack); SecureAttachment (revoke/expire/cross-org guard); 32 tests</x:v>
      </x:c>
    </x:row>
    <x:row r="246" ht="42" customHeight="1">
      <x:c r="A246" s="10" t="str">
        <x:v>COMMS-402</x:v>
      </x:c>
      <x:c r="B246" s="11" t="n">
        <x:v>245</x:v>
      </x:c>
      <x:c r="C246" s="11" t="n">
        <x:v>4</x:v>
      </x:c>
      <x:c r="D246" s="10" t="str">
        <x:v>12</x:v>
      </x:c>
      <x:c r="E246" s="10" t="str">
        <x:v>observed</x:v>
      </x:c>
      <x:c r="F246" s="10" t="str">
        <x:v>Build unified inbox read model</x:v>
      </x:c>
      <x:c r="G246" s="10" t="str">
        <x:v>Combines authorized messages, notifications, assignments, approvals and acknowledgements with source/type/priority/read/action filters and stable deep links.</x:v>
      </x:c>
      <x:c r="H246" s="10" t="str">
        <x:v>ADM-WF-011; ADM-WF-012</x:v>
      </x:c>
      <x:c r="I246" s="10" t="str"/>
      <x:c r="J246" s="10" t="str">
        <x:v>Historical feature-spec progress ledger: done — (combined with COMMS-401)</x:v>
      </x:c>
    </x:row>
    <x:row r="247" ht="42" customHeight="1">
      <x:c r="A247" s="10" t="str">
        <x:v>COMMS-403</x:v>
      </x:c>
      <x:c r="B247" s="11" t="n">
        <x:v>246</x:v>
      </x:c>
      <x:c r="C247" s="11" t="n">
        <x:v>4</x:v>
      </x:c>
      <x:c r="D247" s="10" t="str">
        <x:v>12</x:v>
      </x:c>
      <x:c r="E247" s="10" t="str">
        <x:v>observed</x:v>
      </x:c>
      <x:c r="F247" s="10" t="str">
        <x:v>Route domain notifications through outbox</x:v>
      </x:c>
      <x:c r="G247" s="10" t="str">
        <x:v>Domain transaction writes dedupe key/audience/event; provider processing is retryable and cannot send before commit or duplicate on retry.</x:v>
      </x:c>
      <x:c r="H247" s="10" t="str">
        <x:v>ADM-WF-011; ADM-WF-012</x:v>
      </x:c>
      <x:c r="I247" s="10" t="str"/>
      <x:c r="J247" s="10" t="str">
        <x:v>Historical feature-spec progress ledger: done — (combined with COMMS-401)</x:v>
      </x:c>
    </x:row>
    <x:row r="248" ht="42" customHeight="1">
      <x:c r="A248" s="10" t="str">
        <x:v>COMMS-404</x:v>
      </x:c>
      <x:c r="B248" s="11" t="n">
        <x:v>247</x:v>
      </x:c>
      <x:c r="C248" s="11" t="n">
        <x:v>4</x:v>
      </x:c>
      <x:c r="D248" s="10" t="str">
        <x:v>12</x:v>
      </x:c>
      <x:c r="E248" s="10" t="str">
        <x:v>observed</x:v>
      </x:c>
      <x:c r="F248" s="10" t="str">
        <x:v>Add preferences and quiet hours</x:v>
      </x:c>
      <x:c r="G248" s="10" t="str">
        <x:v>User/org mandatory-versus-optional rules, channel opt-in/consent, local quiet hours, digest, emergency override and audit are implemented.</x:v>
      </x:c>
      <x:c r="H248" s="10" t="str">
        <x:v>ADM-WF-011; ADM-WF-012</x:v>
      </x:c>
      <x:c r="I248" s="10" t="str"/>
      <x:c r="J248" s="10" t="str">
        <x:v>Historical feature-spec progress ledger: done — (combined with COMMS-401)</x:v>
      </x:c>
    </x:row>
    <x:row r="249" ht="42" customHeight="1">
      <x:c r="A249" s="10" t="str">
        <x:v>COMMS-405</x:v>
      </x:c>
      <x:c r="B249" s="11" t="n">
        <x:v>248</x:v>
      </x:c>
      <x:c r="C249" s="11" t="n">
        <x:v>4</x:v>
      </x:c>
      <x:c r="D249" s="10" t="str">
        <x:v>12</x:v>
      </x:c>
      <x:c r="E249" s="10" t="str">
        <x:v>observed</x:v>
      </x:c>
      <x:c r="F249" s="10" t="str">
        <x:v>Add escalation/acknowledgement</x:v>
      </x:c>
      <x:c r="G249" s="10" t="str">
        <x:v>Required action/version/deadline, reminders/escalation and recipient state are visible; dismissal/read does not equal acknowledgement.</x:v>
      </x:c>
      <x:c r="H249" s="10" t="str">
        <x:v>ADM-WF-011; ADM-WF-012</x:v>
      </x:c>
      <x:c r="I249" s="10" t="str"/>
      <x:c r="J249" s="10" t="str">
        <x:v>Historical feature-spec progress ledger: done — (combined with COMMS-401)</x:v>
      </x:c>
    </x:row>
    <x:row r="250" ht="42" customHeight="1">
      <x:c r="A250" s="10" t="str">
        <x:v>COMMS-406</x:v>
      </x:c>
      <x:c r="B250" s="11" t="n">
        <x:v>249</x:v>
      </x:c>
      <x:c r="C250" s="11" t="n">
        <x:v>4</x:v>
      </x:c>
      <x:c r="D250" s="10" t="str">
        <x:v>12</x:v>
      </x:c>
      <x:c r="E250" s="10" t="str">
        <x:v>observed</x:v>
      </x:c>
      <x:c r="F250" s="10" t="str">
        <x:v>Secure attachments and links</x:v>
      </x:c>
      <x:c r="G250" s="10" t="str">
        <x:v>Files and deep links reauthorize at access time; previews do not leak names/content; expired/revoked users lose access.</x:v>
      </x:c>
      <x:c r="H250" s="10" t="str">
        <x:v>ADM-WF-011; ADM-WF-012</x:v>
      </x:c>
      <x:c r="I250" s="10" t="str"/>
      <x:c r="J250" s="10" t="str">
        <x:v>Historical feature-spec progress ledger: done — (combined with COMMS-401)</x:v>
      </x:c>
    </x:row>
    <x:row r="251" ht="42" customHeight="1">
      <x:c r="A251" s="10" t="str">
        <x:v>TOUR-401</x:v>
      </x:c>
      <x:c r="B251" s="11" t="n">
        <x:v>250</x:v>
      </x:c>
      <x:c r="C251" s="11" t="n">
        <x:v>4</x:v>
      </x:c>
      <x:c r="D251" s="10" t="str">
        <x:v>02</x:v>
      </x:c>
      <x:c r="E251" s="10" t="str">
        <x:v>observed</x:v>
      </x:c>
      <x:c r="F251" s="10" t="str">
        <x:v>Integrate workforce/advance/live health</x:v>
      </x:c>
      <x:c r="G251" s="10" t="str">
        <x:v>Coverage, credentials, labor/rest conflicts, overdue advance sections, unacknowledged day sheets, and incidents appear by stop and tour.</x:v>
      </x:c>
      <x:c r="H251" s="10" t="str">
        <x:v>ADM-WF-005</x:v>
      </x:c>
      <x:c r="I251" s="10" t="str"/>
      <x:c r="J251" s="10" t="str">
        <x:v>Historical feature-spec progress ledger: done — 8-signal health (workforce/advance/day_sheet/incidents); buildStopHealthSignals + computeStopHealthSummary + buildTourLiveHealthRollup; 7 tests</x:v>
      </x:c>
    </x:row>
    <x:row r="252" ht="42" customHeight="1">
      <x:c r="A252" s="10" t="str">
        <x:v>REP-401</x:v>
      </x:c>
      <x:c r="B252" s="11" t="n">
        <x:v>251</x:v>
      </x:c>
      <x:c r="C252" s="11" t="n">
        <x:v>4</x:v>
      </x:c>
      <x:c r="D252" s="10" t="str">
        <x:v>13</x:v>
      </x:c>
      <x:c r="E252" s="10" t="str">
        <x:v>observed</x:v>
      </x:c>
      <x:c r="F252" s="10" t="str">
        <x:v>Workforce/advance/live dashboard</x:v>
      </x:c>
      <x:c r="G252" s="10" t="str">
        <x:v>Coverage/conflicts/credentials/cost, advance status, publication acknowledgement, timeline variance/tasks/incidents/check-in use governed definitions.</x:v>
      </x:c>
      <x:c r="H252" s="10" t="str">
        <x:v>ADM-WF-017</x:v>
      </x:c>
      <x:c r="I252" s="10" t="str"/>
      <x:c r="J252" s="10" t="str">
        <x:v>Historical feature-spec progress ledger: done — 9 governed Phase 4 live metrics; evaluateMetricSeverity; buildLiveDashboard; computeDashboardSeverity; 9 tests</x:v>
      </x:c>
    </x:row>
    <x:row r="253" ht="42" customHeight="1">
      <x:c r="A253" s="10" t="str">
        <x:v>REL-401</x:v>
      </x:c>
      <x:c r="B253" s="11" t="n">
        <x:v>252</x:v>
      </x:c>
      <x:c r="C253" s="11" t="n">
        <x:v>4</x:v>
      </x:c>
      <x:c r="D253" s="10" t="str">
        <x:v>14</x:v>
      </x:c>
      <x:c r="E253" s="10" t="str">
        <x:v>observed</x:v>
      </x:c>
      <x:c r="F253" s="10" t="str">
        <x:v>Add offline/realtime suite</x:v>
      </x:c>
      <x:c r="G253" s="10" t="str">
        <x:v>Worker itinerary/day sheet/map/check-in/scan reconnect, stale/superseded/revoked content, queue ordering and permission revocation are tested.</x:v>
      </x:c>
      <x:c r="H253" s="10" t="str">
        <x:v>ADM-WF-017</x:v>
      </x:c>
      <x:c r="I253" s="10" t="str"/>
      <x:c r="J253" s="10" t="str">
        <x:v>Historical feature-spec progress ledger: done — OfflinePackage freshness; reconnect queue (gap detection); revocation simulation; checkContentStaleness (revoked wins); 19 tests</x:v>
      </x:c>
    </x:row>
    <x:row r="254" ht="42" customHeight="1">
      <x:c r="A254" s="10" t="str">
        <x:v>TIX-501</x:v>
      </x:c>
      <x:c r="B254" s="11" t="n">
        <x:v>253</x:v>
      </x:c>
      <x:c r="C254" s="11" t="n">
        <x:v>5</x:v>
      </x:c>
      <x:c r="D254" s="10" t="str">
        <x:v>09</x:v>
      </x:c>
      <x:c r="E254" s="10" t="str">
        <x:v>observed</x:v>
      </x:c>
      <x:c r="F254" s="10" t="str">
        <x:v>Build event ticketing setup</x:v>
      </x:c>
      <x:c r="G254" s="10" t="str">
        <x:v>Authorized user configures capacity source, currency, windows, tax/fee, ticket types/tiers/channels/limits and previews availability.</x:v>
      </x:c>
      <x:c r="H254" s="10" t="str">
        <x:v>ADM-WF-019</x:v>
      </x:c>
      <x:c r="I254" s="10" t="str"/>
      <x:c r="J254" s="10" t="str">
        <x:v>Historical feature-spec progress ledger: done — EventTicketingConfig + validateTicketingConfig + computeAvailabilityPreview; 32 tests (combined TIX-501..507)</x:v>
      </x:c>
    </x:row>
    <x:row r="255" ht="42" customHeight="1">
      <x:c r="A255" s="10" t="str">
        <x:v>TIX-502</x:v>
      </x:c>
      <x:c r="B255" s="11" t="n">
        <x:v>254</x:v>
      </x:c>
      <x:c r="C255" s="11" t="n">
        <x:v>5</x:v>
      </x:c>
      <x:c r="D255" s="10" t="str">
        <x:v>09</x:v>
      </x:c>
      <x:c r="E255" s="10" t="str">
        <x:v>observed</x:v>
      </x:c>
      <x:c r="F255" s="10" t="str">
        <x:v>Implement inventory ledger</x:v>
      </x:c>
      <x:c r="G255" s="10" t="str">
        <x:v>Every inventory movement is atomic, balanced, attributable, idempotent, and reconstructs current availability; race tests prevent oversell.</x:v>
      </x:c>
      <x:c r="H255" s="10" t="str">
        <x:v>ADM-WF-019</x:v>
      </x:c>
      <x:c r="I255" s="10" t="str"/>
      <x:c r="J255" s="10" t="str">
        <x:v>Historical feature-spec progress ledger: done — InventoryLedgerEntry (9 movement types); reconstructInventoryState; canReserve oversell guard (combined)</x:v>
      </x:c>
    </x:row>
    <x:row r="256" ht="42" customHeight="1">
      <x:c r="A256" s="10" t="str">
        <x:v>TIX-503</x:v>
      </x:c>
      <x:c r="B256" s="11" t="n">
        <x:v>255</x:v>
      </x:c>
      <x:c r="C256" s="11" t="n">
        <x:v>5</x:v>
      </x:c>
      <x:c r="D256" s="10" t="str">
        <x:v>09</x:v>
      </x:c>
      <x:c r="E256" s="10" t="str">
        <x:v>observed</x:v>
      </x:c>
      <x:c r="F256" s="10" t="str">
        <x:v>Build allocations/holds matrix</x:v>
      </x:c>
      <x:c r="G256" s="10" t="str">
        <x:v>Tour × stop × allocation category shows requested/held/issued/released/used; deadlines and release rules are configurable/audited.</x:v>
      </x:c>
      <x:c r="H256" s="10" t="str">
        <x:v>ADM-WF-019</x:v>
      </x:c>
      <x:c r="I256" s="10" t="str"/>
      <x:c r="J256" s="10" t="str">
        <x:v>Historical feature-spec progress ledger: done — AllocationRecord matrix + getAllocationsAtRiskOfExpiry (combined)</x:v>
      </x:c>
    </x:row>
    <x:row r="257" ht="42" customHeight="1">
      <x:c r="A257" s="10" t="str">
        <x:v>TIX-504</x:v>
      </x:c>
      <x:c r="B257" s="11" t="n">
        <x:v>256</x:v>
      </x:c>
      <x:c r="C257" s="11" t="n">
        <x:v>5</x:v>
      </x:c>
      <x:c r="D257" s="10" t="str">
        <x:v>09</x:v>
      </x:c>
      <x:c r="E257" s="10" t="str">
        <x:v>observed</x:v>
      </x:c>
      <x:c r="F257" s="10" t="str">
        <x:v>Build comp/guest approval</x:v>
      </x:c>
      <x:c r="G257" s="10" t="str">
        <x:v>Requests, approver threshold, recipient/host, credential, plus-one, notes, issuance, cancellation, and attendance are tracked.</x:v>
      </x:c>
      <x:c r="H257" s="10" t="str">
        <x:v>ADM-WF-019</x:v>
      </x:c>
      <x:c r="I257" s="10" t="str"/>
      <x:c r="J257" s="10" t="str">
        <x:v>Historical feature-spec progress ledger: done — CompRequest lifecycle; approveCompRequest/denyCompRequest/issueComp (combined)</x:v>
      </x:c>
    </x:row>
    <x:row r="258" ht="42" customHeight="1">
      <x:c r="A258" s="10" t="str">
        <x:v>TIX-505</x:v>
      </x:c>
      <x:c r="B258" s="11" t="n">
        <x:v>257</x:v>
      </x:c>
      <x:c r="C258" s="11" t="n">
        <x:v>5</x:v>
      </x:c>
      <x:c r="D258" s="10" t="str">
        <x:v>09</x:v>
      </x:c>
      <x:c r="E258" s="10" t="str">
        <x:v>observed</x:v>
      </x:c>
      <x:c r="F258" s="10" t="str">
        <x:v>Rebuild campaigns/promos</x:v>
      </x:c>
      <x:c r="G258" s="10" t="str">
        <x:v>Scope, eligibility, code generation/import, windows, limits, discount rule, budget/approval, redemption, fraud controls, and analytics use canonical data.</x:v>
      </x:c>
      <x:c r="H258" s="10" t="str">
        <x:v>ADM-WF-019</x:v>
      </x:c>
      <x:c r="I258" s="10" t="str"/>
      <x:c r="J258" s="10" t="str">
        <x:v>Historical feature-spec progress ledger: done — PromoCampaign + PromoCode; computePromoDiscount; isPromoRedeemable (combined)</x:v>
      </x:c>
    </x:row>
    <x:row r="259" ht="42" customHeight="1">
      <x:c r="A259" s="10" t="str">
        <x:v>TIX-506</x:v>
      </x:c>
      <x:c r="B259" s="11" t="n">
        <x:v>258</x:v>
      </x:c>
      <x:c r="C259" s="11" t="n">
        <x:v>5</x:v>
      </x:c>
      <x:c r="D259" s="10" t="str">
        <x:v>09</x:v>
      </x:c>
      <x:c r="E259" s="10" t="str">
        <x:v>observed</x:v>
      </x:c>
      <x:c r="F259" s="10" t="str">
        <x:v>Add order/ticket operations</x:v>
      </x:c>
      <x:c r="G259" s="10" t="str">
        <x:v>Search is org/event scoped and rate-limited; resend/transfer/void/refund require allowed state/capability/reason and show financial impact.</x:v>
      </x:c>
      <x:c r="H259" s="10" t="str">
        <x:v>ADM-WF-019</x:v>
      </x:c>
      <x:c r="I259" s="10" t="str"/>
      <x:c r="J259" s="10" t="str">
        <x:v>Historical feature-spec progress ledger: done — ALLOWED_OPERATIONS per ticket status; createTicketOperation (combined)</x:v>
      </x:c>
    </x:row>
    <x:row r="260" ht="42" customHeight="1">
      <x:c r="A260" s="10" t="str">
        <x:v>TIX-507</x:v>
      </x:c>
      <x:c r="B260" s="11" t="n">
        <x:v>259</x:v>
      </x:c>
      <x:c r="C260" s="11" t="n">
        <x:v>5</x:v>
      </x:c>
      <x:c r="D260" s="10" t="str">
        <x:v>09</x:v>
      </x:c>
      <x:c r="E260" s="10" t="str">
        <x:v>observed</x:v>
      </x:c>
      <x:c r="F260" s="10" t="str">
        <x:v>Add tour ticketing workspace</x:v>
      </x:c>
      <x:c r="G260" s="10" t="str">
        <x:v>Authorized aggregate shows inventory/allocation/sales/refunds/comps/check-in and exceptions by stop with drilldown; provider freshness is explicit.</x:v>
      </x:c>
      <x:c r="H260" s="10" t="str">
        <x:v>ADM-WF-019</x:v>
      </x:c>
      <x:c r="I260" s="10" t="str"/>
      <x:c r="J260" s="10" t="str">
        <x:v>Historical feature-spec progress ledger: done — StopTicketingSummary; buildTourTicketingWorkspace + stale data flag (combined)</x:v>
      </x:c>
    </x:row>
    <x:row r="261" ht="42" customHeight="1">
      <x:c r="A261" s="10" t="str">
        <x:v>TIX-508</x:v>
      </x:c>
      <x:c r="B261" s="11" t="n">
        <x:v>260</x:v>
      </x:c>
      <x:c r="C261" s="11" t="n">
        <x:v>5</x:v>
      </x:c>
      <x:c r="D261" s="10" t="str">
        <x:v>09</x:v>
      </x:c>
      <x:c r="E261" s="10" t="str">
        <x:v>observed</x:v>
      </x:c>
      <x:c r="F261" s="10" t="str">
        <x:v>Harden credential generation</x:v>
      </x:c>
      <x:c r="G261" s="10" t="str">
        <x:v>Signed/rotatable verification format avoids embedded sensitive data; revocation/key rotation and backward validity policy are tested.</x:v>
      </x:c>
      <x:c r="H261" s="10" t="str">
        <x:v>ADM-WF-019</x:v>
      </x:c>
      <x:c r="I261" s="10" t="str"/>
      <x:c r="J261" s="10" t="str">
        <x:v>Historical feature-spec progress ledger: done — TicketCredential (signed; no PII; revoke/expire; key-version grace period); 24 tests (combined TIX-508..513)</x:v>
      </x:c>
    </x:row>
    <x:row r="262" ht="42" customHeight="1">
      <x:c r="A262" s="10" t="str">
        <x:v>TIX-509</x:v>
      </x:c>
      <x:c r="B262" s="11" t="n">
        <x:v>261</x:v>
      </x:c>
      <x:c r="C262" s="11" t="n">
        <x:v>5</x:v>
      </x:c>
      <x:c r="D262" s="10" t="str">
        <x:v>09</x:v>
      </x:c>
      <x:c r="E262" s="10" t="str">
        <x:v>observed</x:v>
      </x:c>
      <x:c r="F262" s="10" t="str">
        <x:v>Build scanner/device management</x:v>
      </x:c>
      <x:c r="G262" s="10" t="str">
        <x:v>Register/revoke devices/operators, event packages, gates, last sync, version, and permissions; lost device can be invalidated.</x:v>
      </x:c>
      <x:c r="H262" s="10" t="str">
        <x:v>ADM-WF-019</x:v>
      </x:c>
      <x:c r="I262" s="10" t="str"/>
      <x:c r="J262" s="10" t="str">
        <x:v>Historical feature-spec progress ledger: done — ScannerDevice (active/revoked/lost; isDeviceAuthorized) (combined)</x:v>
      </x:c>
    </x:row>
    <x:row r="263" ht="42" customHeight="1">
      <x:c r="A263" s="10" t="str">
        <x:v>TIX-510</x:v>
      </x:c>
      <x:c r="B263" s="11" t="n">
        <x:v>262</x:v>
      </x:c>
      <x:c r="C263" s="11" t="n">
        <x:v>5</x:v>
      </x:c>
      <x:c r="D263" s="10" t="str">
        <x:v>09</x:v>
      </x:c>
      <x:c r="E263" s="10" t="str">
        <x:v>observed</x:v>
      </x:c>
      <x:c r="F263" s="10" t="str">
        <x:v>Add offline scanning</x:v>
      </x:c>
      <x:c r="G263" s="10" t="str">
        <x:v>Package is event/audience scoped and expiring; duplicate/revoked/manual cases are clear; queued scans reconcile idempotently with conflict resolution.</x:v>
      </x:c>
      <x:c r="H263" s="10" t="str">
        <x:v>ADM-WF-019</x:v>
      </x:c>
      <x:c r="I263" s="10" t="str"/>
      <x:c r="J263" s="10" t="str">
        <x:v>Historical feature-spec progress ledger: done — OfflineScan reconciliation + flushOfflineScans idempotent (combined)</x:v>
      </x:c>
    </x:row>
    <x:row r="264" ht="42" customHeight="1">
      <x:c r="A264" s="10" t="str">
        <x:v>TIX-511</x:v>
      </x:c>
      <x:c r="B264" s="11" t="n">
        <x:v>263</x:v>
      </x:c>
      <x:c r="C264" s="11" t="n">
        <x:v>5</x:v>
      </x:c>
      <x:c r="D264" s="10" t="str">
        <x:v>09</x:v>
      </x:c>
      <x:c r="E264" s="10" t="str">
        <x:v>observed</x:v>
      </x:c>
      <x:c r="F264" s="10" t="str">
        <x:v>Build admissions dashboard</x:v>
      </x:c>
      <x:c r="G264" s="10" t="str">
        <x:v>Counts expose data freshness and offline devices; gate/type/time filters, anomaly alerts, and accessible manual fallback are supported.</x:v>
      </x:c>
      <x:c r="H264" s="10" t="str">
        <x:v>ADM-WF-019</x:v>
      </x:c>
      <x:c r="I264" s="10" t="str"/>
      <x:c r="J264" s="10" t="str">
        <x:v>Historical feature-spec progress ledger: done — computeAdmissionsAnomalies (4 types) (combined)</x:v>
      </x:c>
    </x:row>
    <x:row r="265" ht="42" customHeight="1">
      <x:c r="A265" s="10" t="str">
        <x:v>TIX-512</x:v>
      </x:c>
      <x:c r="B265" s="11" t="n">
        <x:v>264</x:v>
      </x:c>
      <x:c r="C265" s="11" t="n">
        <x:v>5</x:v>
      </x:c>
      <x:c r="D265" s="10" t="str">
        <x:v>09</x:v>
      </x:c>
      <x:c r="E265" s="10" t="str">
        <x:v>observed</x:v>
      </x:c>
      <x:c r="F265" s="10" t="str">
        <x:v>Build provider adapter/webhook boundary</x:v>
      </x:c>
      <x:c r="G265" s="10" t="str">
        <x:v>Verify signature, replay/order/idempotency, map external identities/state, retain raw event securely, quarantine unmatched, and monitor lag/failure.</x:v>
      </x:c>
      <x:c r="H265" s="10" t="str">
        <x:v>ADM-WF-019</x:v>
      </x:c>
      <x:c r="I265" s="10" t="str"/>
      <x:c r="J265" s="10" t="str">
        <x:v>Historical feature-spec progress ledger: done — WebhookEvent (signature/duplicate/quarantine) (combined)</x:v>
      </x:c>
    </x:row>
    <x:row r="266" ht="42" customHeight="1">
      <x:c r="A266" s="10" t="str">
        <x:v>TIX-513</x:v>
      </x:c>
      <x:c r="B266" s="11" t="n">
        <x:v>265</x:v>
      </x:c>
      <x:c r="C266" s="11" t="n">
        <x:v>5</x:v>
      </x:c>
      <x:c r="D266" s="10" t="str">
        <x:v>09</x:v>
      </x:c>
      <x:c r="E266" s="10" t="str">
        <x:v>observed</x:v>
      </x:c>
      <x:c r="F266" s="10" t="str">
        <x:v>Add ticket settlement handoff</x:v>
      </x:c>
      <x:c r="G266" s="10" t="str">
        <x:v>Gross, fees, tax, refunds, chargebacks, comps, allocation, attendance and provider statements reconcile to finance/show settlement with variance.</x:v>
      </x:c>
      <x:c r="H266" s="10" t="str">
        <x:v>ADM-WF-019</x:v>
      </x:c>
      <x:c r="I266" s="10" t="str"/>
      <x:c r="J266" s="10" t="str">
        <x:v>Historical feature-spec progress ledger: done — TicketSettlementHandoff; computeSettlementNet; computeSettlementVariance (combined)</x:v>
      </x:c>
    </x:row>
    <x:row r="267" ht="42" customHeight="1">
      <x:c r="A267" s="10" t="str">
        <x:v>FIN-501</x:v>
      </x:c>
      <x:c r="B267" s="11" t="n">
        <x:v>266</x:v>
      </x:c>
      <x:c r="C267" s="11" t="n">
        <x:v>5</x:v>
      </x:c>
      <x:c r="D267" s="10" t="str">
        <x:v>10</x:v>
      </x:c>
      <x:c r="E267" s="10" t="str">
        <x:v>observed</x:v>
      </x:c>
      <x:c r="F267" s="10" t="str">
        <x:v>Create category/department hierarchy</x:v>
      </x:c>
      <x:c r="G267" s="10" t="str">
        <x:v>Organization-owned codes/names, parent, reporting order, allowed scopes, active state, and mapping from legacy categories are complete.</x:v>
      </x:c>
      <x:c r="H267" s="10" t="str">
        <x:v>ADM-WF-014</x:v>
      </x:c>
      <x:c r="I267" s="10" t="str"/>
      <x:c r="J267" s="10" t="str">
        <x:v>Historical feature-spec progress ledger: done — FinanceCategory hierarchy + buildCategoryTree; 34 tests (combined FIN-501..507)</x:v>
      </x:c>
    </x:row>
    <x:row r="268" ht="42" customHeight="1">
      <x:c r="A268" s="10" t="str">
        <x:v>FIN-502</x:v>
      </x:c>
      <x:c r="B268" s="11" t="n">
        <x:v>267</x:v>
      </x:c>
      <x:c r="C268" s="11" t="n">
        <x:v>5</x:v>
      </x:c>
      <x:c r="D268" s="10" t="str">
        <x:v>10</x:v>
      </x:c>
      <x:c r="E268" s="10" t="str">
        <x:v>observed</x:v>
      </x:c>
      <x:c r="F268" s="10" t="str">
        <x:v>Build budget templates/versions</x:v>
      </x:c>
      <x:c r="G268" s="10" t="str">
        <x:v>Apply template with preview; baseline/forecast/scenario/approved status and version history; approved version is immutable.</x:v>
      </x:c>
      <x:c r="H268" s="10" t="str">
        <x:v>ADM-WF-014</x:v>
      </x:c>
      <x:c r="I268" s="10" t="str"/>
      <x:c r="J268" s="10" t="str">
        <x:v>Historical feature-spec progress ledger: done — BudgetVersion (baseline/forecast/scenario/approved); approveBudgetVersion (immutable); createNextBudgetVersion (combined)</x:v>
      </x:c>
    </x:row>
    <x:row r="269" ht="42" customHeight="1">
      <x:c r="A269" s="10" t="str">
        <x:v>FIN-503</x:v>
      </x:c>
      <x:c r="B269" s="11" t="n">
        <x:v>268</x:v>
      </x:c>
      <x:c r="C269" s="11" t="n">
        <x:v>5</x:v>
      </x:c>
      <x:c r="D269" s="10" t="str">
        <x:v>10</x:v>
      </x:c>
      <x:c r="E269" s="10" t="str">
        <x:v>observed</x:v>
      </x:c>
      <x:c r="F269" s="10" t="str">
        <x:v>Build budget-line editor</x:v>
      </x:c>
      <x:c r="G269" s="10" t="str">
        <x:v>Quantity/rate/fixed/formula, original/reporting currency, owner, scope, vendor/contract/assumption and notes validate and roll up correctly.</x:v>
      </x:c>
      <x:c r="H269" s="10" t="str">
        <x:v>ADM-WF-014</x:v>
      </x:c>
      <x:c r="I269" s="10" t="str"/>
      <x:c r="J269" s="10" t="str">
        <x:v>Historical feature-spec progress ledger: done — BudgetLine (quantity_rate/fixed/formula); computeBudgetLineTotal; validateBudgetLine (combined)</x:v>
      </x:c>
    </x:row>
    <x:row r="270" ht="42" customHeight="1">
      <x:c r="A270" s="10" t="str">
        <x:v>FIN-504</x:v>
      </x:c>
      <x:c r="B270" s="11" t="n">
        <x:v>269</x:v>
      </x:c>
      <x:c r="C270" s="11" t="n">
        <x:v>5</x:v>
      </x:c>
      <x:c r="D270" s="10" t="str">
        <x:v>10</x:v>
      </x:c>
      <x:c r="E270" s="10" t="str">
        <x:v>observed</x:v>
      </x:c>
      <x:c r="F270" s="10" t="str">
        <x:v>Add commitment/actual rollups</x:v>
      </x:c>
      <x:c r="G270" s="10" t="str">
        <x:v>Purchase requests/POs/contracts/invoices/expenses/payroll estimate/travel/tickets/settlement post through typed source adapters and reconcile to budget.</x:v>
      </x:c>
      <x:c r="H270" s="10" t="str">
        <x:v>ADM-WF-014</x:v>
      </x:c>
      <x:c r="I270" s="10" t="str"/>
      <x:c r="J270" s="10" t="str">
        <x:v>Historical feature-spec progress ledger: done — CommitmentEntry (9 sources); buildBudgetRollup (committed/actuals/remaining/utilization_pct) (combined)</x:v>
      </x:c>
    </x:row>
    <x:row r="271" ht="42" customHeight="1">
      <x:c r="A271" s="10" t="str">
        <x:v>FIN-505</x:v>
      </x:c>
      <x:c r="B271" s="11" t="n">
        <x:v>270</x:v>
      </x:c>
      <x:c r="C271" s="11" t="n">
        <x:v>5</x:v>
      </x:c>
      <x:c r="D271" s="10" t="str">
        <x:v>10</x:v>
      </x:c>
      <x:c r="E271" s="10" t="str">
        <x:v>observed</x:v>
      </x:c>
      <x:c r="F271" s="10" t="str">
        <x:v>Add approval policy engine</x:v>
      </x:c>
      <x:c r="G271" s="10" t="str">
        <x:v>Thresholds by amount/category/department/action, required approvers, separation, delegation/expiry, escalation, and audit are configurable.</x:v>
      </x:c>
      <x:c r="H271" s="10" t="str">
        <x:v>ADM-WF-014</x:v>
      </x:c>
      <x:c r="I271" s="10" t="str"/>
      <x:c r="J271" s="10" t="str">
        <x:v>Historical feature-spec progress ledger: done — evaluateApprovalPolicy (threshold/separation of duties) (combined)</x:v>
      </x:c>
    </x:row>
    <x:row r="272" ht="42" customHeight="1">
      <x:c r="A272" s="10" t="str">
        <x:v>FIN-506</x:v>
      </x:c>
      <x:c r="B272" s="11" t="n">
        <x:v>271</x:v>
      </x:c>
      <x:c r="C272" s="11" t="n">
        <x:v>5</x:v>
      </x:c>
      <x:c r="D272" s="10" t="str">
        <x:v>10</x:v>
      </x:c>
      <x:c r="E272" s="10" t="str">
        <x:v>observed</x:v>
      </x:c>
      <x:c r="F272" s="10" t="str">
        <x:v>Build purchase request/PO/change order</x:v>
      </x:c>
      <x:c r="G272" s="10" t="str">
        <x:v>Status lifecycle, lines, approvals, vendor/contract/budget, delivery scope, commitments, documents, change impact, and close/cancel are implemented.</x:v>
      </x:c>
      <x:c r="H272" s="10" t="str">
        <x:v>ADM-WF-014</x:v>
      </x:c>
      <x:c r="I272" s="10" t="str"/>
      <x:c r="J272" s="10" t="str">
        <x:v>Historical feature-spec progress ledger: done — PurchaseOrder lifecycle (8 statuses); transitionPOStatus (cancel requires reason; sets approved_by) (combined)</x:v>
      </x:c>
    </x:row>
    <x:row r="273" ht="42" customHeight="1">
      <x:c r="A273" s="10" t="str">
        <x:v>FIN-507</x:v>
      </x:c>
      <x:c r="B273" s="11" t="n">
        <x:v>272</x:v>
      </x:c>
      <x:c r="C273" s="11" t="n">
        <x:v>5</x:v>
      </x:c>
      <x:c r="D273" s="10" t="str">
        <x:v>10</x:v>
      </x:c>
      <x:c r="E273" s="10" t="str">
        <x:v>observed</x:v>
      </x:c>
      <x:c r="F273" s="10" t="str">
        <x:v>Build invoice match/status</x:v>
      </x:c>
      <x:c r="G273" s="10" t="str">
        <x:v>Match invoice to PO/receipt/service, detect quantity/price/tax/currency variance, route exception/approval, and track exported/payment state without pretending to execute payment if not integrated.</x:v>
      </x:c>
      <x:c r="H273" s="10" t="str">
        <x:v>ADM-WF-014</x:v>
      </x:c>
      <x:c r="I273" s="10" t="str"/>
      <x:c r="J273" s="10" t="str">
        <x:v>Historical feature-spec progress ledger: done — matchInvoiceToPO (price/tax variance → exception/partial_match/matched) (combined)</x:v>
      </x:c>
    </x:row>
    <x:row r="274" ht="42" customHeight="1">
      <x:c r="A274" s="10" t="str">
        <x:v>FIN-508</x:v>
      </x:c>
      <x:c r="B274" s="11" t="n">
        <x:v>273</x:v>
      </x:c>
      <x:c r="C274" s="11" t="n">
        <x:v>5</x:v>
      </x:c>
      <x:c r="D274" s="10" t="str">
        <x:v>10</x:v>
      </x:c>
      <x:c r="E274" s="10" t="str">
        <x:v>observed</x:v>
      </x:c>
      <x:c r="F274" s="10" t="str">
        <x:v>Build expense/receipt workflow</x:v>
      </x:c>
      <x:c r="G274" s="10" t="str">
        <x:v>Mobile upload is scanned, fields/currency/date/vendor/category/scope/splits validate, duplicates flag, submit/review/approve/reject/reimburse-export states are audited.</x:v>
      </x:c>
      <x:c r="H274" s="10" t="str">
        <x:v>ADM-WF-014</x:v>
      </x:c>
      <x:c r="I274" s="10" t="str"/>
      <x:c r="J274" s="10" t="str">
        <x:v>Historical feature-spec progress ledger: done — ExpenseReport lifecycle; submitExpense/rejectExpense; 15 tests (combined FIN-508..511)</x:v>
      </x:c>
    </x:row>
    <x:row r="275" ht="42" customHeight="1">
      <x:c r="A275" s="10" t="str">
        <x:v>FIN-509</x:v>
      </x:c>
      <x:c r="B275" s="11" t="n">
        <x:v>274</x:v>
      </x:c>
      <x:c r="C275" s="11" t="n">
        <x:v>5</x:v>
      </x:c>
      <x:c r="D275" s="10" t="str">
        <x:v>10</x:v>
      </x:c>
      <x:c r="E275" s="10" t="str">
        <x:v>observed</x:v>
      </x:c>
      <x:c r="F275" s="10" t="str">
        <x:v>Build cash-advance workflow</x:v>
      </x:c>
      <x:c r="G275" s="10" t="str">
        <x:v>Request/approve/issue/acknowledge/spend/return/reconcile with custodian, currency, receipts, outstanding balance, due date, and escalation.</x:v>
      </x:c>
      <x:c r="H275" s="10" t="str">
        <x:v>ADM-WF-014</x:v>
      </x:c>
      <x:c r="I275" s="10" t="str"/>
      <x:c r="J275" s="10" t="str">
        <x:v>Historical feature-spec progress ledger: done — CashAdvance; computeCashAdvanceOutstanding; isAdvanceOverdue (combined)</x:v>
      </x:c>
    </x:row>
    <x:row r="276" ht="42" customHeight="1">
      <x:c r="A276" s="10" t="str">
        <x:v>FIN-510</x:v>
      </x:c>
      <x:c r="B276" s="11" t="n">
        <x:v>275</x:v>
      </x:c>
      <x:c r="C276" s="11" t="n">
        <x:v>5</x:v>
      </x:c>
      <x:c r="D276" s="10" t="str">
        <x:v>10</x:v>
      </x:c>
      <x:c r="E276" s="10" t="str">
        <x:v>observed</x:v>
      </x:c>
      <x:c r="F276" s="10" t="str">
        <x:v>Build per-diem policy/entitlement</x:v>
      </x:c>
      <x:c r="G276" s="10" t="str">
        <x:v>Policy applies eligible days/locations/roles/meals/currency/rates/deductions; preview, approval, issue/export, and adjustments are traceable.</x:v>
      </x:c>
      <x:c r="H276" s="10" t="str">
        <x:v>ADM-WF-014</x:v>
      </x:c>
      <x:c r="I276" s="10" t="str"/>
      <x:c r="J276" s="10" t="str">
        <x:v>Historical feature-spec progress ledger: done — PerDiemPolicy; computePerDiemEntitlement (meal deductions; floor 0) (combined)</x:v>
      </x:c>
    </x:row>
    <x:row r="277" ht="42" customHeight="1">
      <x:c r="A277" s="10" t="str">
        <x:v>FIN-511</x:v>
      </x:c>
      <x:c r="B277" s="11" t="n">
        <x:v>276</x:v>
      </x:c>
      <x:c r="C277" s="11" t="n">
        <x:v>5</x:v>
      </x:c>
      <x:c r="D277" s="10" t="str">
        <x:v>10</x:v>
      </x:c>
      <x:c r="E277" s="10" t="str">
        <x:v>observed</x:v>
      </x:c>
      <x:c r="F277" s="10" t="str">
        <x:v>Add multi-currency/FX service</x:v>
      </x:c>
      <x:c r="G277" s="10" t="str">
        <x:v>Approved rate source/manual override policy, immutable applied rate, rounding, unavailable-rate handling, and original/reporting displays are tested.</x:v>
      </x:c>
      <x:c r="H277" s="10" t="str">
        <x:v>ADM-WF-014</x:v>
      </x:c>
      <x:c r="I277" s="10" t="str"/>
      <x:c r="J277" s="10" t="str">
        <x:v>Historical feature-spec progress ledger: done — AppliedFxRate (locked immutable); convertMinorUnits; roundHalfEvenFin; buildFxSummary (unavailable currencies flagged) (combined)</x:v>
      </x:c>
    </x:row>
    <x:row r="278" ht="42" customHeight="1">
      <x:c r="A278" s="10" t="str">
        <x:v>SETTLE-501</x:v>
      </x:c>
      <x:c r="B278" s="11" t="n">
        <x:v>277</x:v>
      </x:c>
      <x:c r="C278" s="11" t="n">
        <x:v>5</x:v>
      </x:c>
      <x:c r="D278" s="10" t="str">
        <x:v>10</x:v>
      </x:c>
      <x:c r="E278" s="10" t="str">
        <x:v>observed</x:v>
      </x:c>
      <x:c r="F278" s="10" t="str">
        <x:v>Define deal templates/formulas</x:v>
      </x:c>
      <x:c r="G278" s="10" t="str">
        <x:v>Guarantee, percentage, versus, bonuses, tax/fees/deductions, promoter expenses, caps, and splits are versioned and reviewed by domain experts.</x:v>
      </x:c>
      <x:c r="H278" s="10" t="str">
        <x:v>ADM-WF-014</x:v>
      </x:c>
      <x:c r="I278" s="10" t="str"/>
      <x:c r="J278" s="10" t="str">
        <x:v>Historical feature-spec progress ledger: done — Deal templates/formulas; 30 tests</x:v>
      </x:c>
    </x:row>
    <x:row r="279" ht="42" customHeight="1">
      <x:c r="A279" s="10" t="str">
        <x:v>SETTLE-502</x:v>
      </x:c>
      <x:c r="B279" s="11" t="n">
        <x:v>278</x:v>
      </x:c>
      <x:c r="C279" s="11" t="n">
        <x:v>5</x:v>
      </x:c>
      <x:c r="D279" s="10" t="str">
        <x:v>10</x:v>
      </x:c>
      <x:c r="E279" s="10" t="str">
        <x:v>observed</x:v>
      </x:c>
      <x:c r="F279" s="10" t="str">
        <x:v>Build settlement statement workspace</x:v>
      </x:c>
      <x:c r="G279" s="10" t="str">
        <x:v>Imports ticket data, pulls approved costs/contracts, shows formula/evidence, supports adjustments/comments/version and prevents stale source use.</x:v>
      </x:c>
      <x:c r="H279" s="10" t="str">
        <x:v>ADM-WF-014</x:v>
      </x:c>
      <x:c r="I279" s="10" t="str"/>
      <x:c r="J279" s="10" t="str">
        <x:v>Historical feature-spec progress ledger: done — Settlement statement workspace (combined)</x:v>
      </x:c>
    </x:row>
    <x:row r="280" ht="42" customHeight="1">
      <x:c r="A280" s="10" t="str">
        <x:v>SETTLE-503</x:v>
      </x:c>
      <x:c r="B280" s="11" t="n">
        <x:v>279</x:v>
      </x:c>
      <x:c r="C280" s="11" t="n">
        <x:v>5</x:v>
      </x:c>
      <x:c r="D280" s="10" t="str">
        <x:v>10</x:v>
      </x:c>
      <x:c r="E280" s="10" t="str">
        <x:v>observed</x:v>
      </x:c>
      <x:c r="F280" s="10" t="str">
        <x:v>Add settlement approval/signoff</x:v>
      </x:c>
      <x:c r="G280" s="10" t="str">
        <x:v>Internal approval and external acknowledgement/signature/document are scoped/audited; approved statement posts actuals and variance idempotently.</x:v>
      </x:c>
      <x:c r="H280" s="10" t="str">
        <x:v>ADM-WF-014</x:v>
      </x:c>
      <x:c r="I280" s="10" t="str"/>
      <x:c r="J280" s="10" t="str">
        <x:v>Historical feature-spec progress ledger: done — Settlement approval/signoff (combined)</x:v>
      </x:c>
    </x:row>
    <x:row r="281" ht="42" customHeight="1">
      <x:c r="A281" s="10" t="str">
        <x:v>SETTLE-504</x:v>
      </x:c>
      <x:c r="B281" s="11" t="n">
        <x:v>280</x:v>
      </x:c>
      <x:c r="C281" s="11" t="n">
        <x:v>5</x:v>
      </x:c>
      <x:c r="D281" s="10" t="str">
        <x:v>10</x:v>
      </x:c>
      <x:c r="E281" s="10" t="str">
        <x:v>observed</x:v>
      </x:c>
      <x:c r="F281" s="10" t="str">
        <x:v>Add tour closeout/profitability</x:v>
      </x:c>
      <x:c r="G281" s="10" t="str">
        <x:v>Completed stops roll gross/net revenue, commitments, actuals, outstanding items, settlement status and forecast/final margin with consistent definitions.</x:v>
      </x:c>
      <x:c r="H281" s="10" t="str">
        <x:v>ADM-WF-014</x:v>
      </x:c>
      <x:c r="I281" s="10" t="str"/>
      <x:c r="J281" s="10" t="str">
        <x:v>Historical feature-spec progress ledger: done — Tour closeout/profitability rollup (combined)</x:v>
      </x:c>
    </x:row>
    <x:row r="282" ht="42" customHeight="1">
      <x:c r="A282" s="10" t="str">
        <x:v>VEND-501</x:v>
      </x:c>
      <x:c r="B282" s="11" t="n">
        <x:v>281</x:v>
      </x:c>
      <x:c r="C282" s="11" t="n">
        <x:v>5</x:v>
      </x:c>
      <x:c r="D282" s="10" t="str">
        <x:v>11</x:v>
      </x:c>
      <x:c r="E282" s="10" t="str">
        <x:v>observed</x:v>
      </x:c>
      <x:c r="F282" s="10" t="str">
        <x:v>Build vendor master</x:v>
      </x:c>
      <x:c r="G282" s="10" t="str">
        <x:v>Scoped search/create/edit/category/contact/status/risk/compliance and merge workflow work without raw IDs; audit and field access apply.</x:v>
      </x:c>
      <x:c r="H282" s="10" t="str">
        <x:v>ADM-WF-015</x:v>
      </x:c>
      <x:c r="I282" s="10" t="str"/>
      <x:c r="J282" s="10" t="str">
        <x:v>Historical feature-spec progress ledger: done — Vendor master + search/merge; 32 tests</x:v>
      </x:c>
    </x:row>
    <x:row r="283" ht="42" customHeight="1">
      <x:c r="A283" s="10" t="str">
        <x:v>VEND-502</x:v>
      </x:c>
      <x:c r="B283" s="11" t="n">
        <x:v>282</x:v>
      </x:c>
      <x:c r="C283" s="11" t="n">
        <x:v>5</x:v>
      </x:c>
      <x:c r="D283" s="10" t="str">
        <x:v>11</x:v>
      </x:c>
      <x:c r="E283" s="10" t="str">
        <x:v>observed</x:v>
      </x:c>
      <x:c r="F283" s="10" t="str">
        <x:v>Build compliance document workflow</x:v>
      </x:c>
      <x:c r="G283" s="10" t="str">
        <x:v>Requirement by category/jurisdiction, secure upload/scan, verification, issue/expiry, reminder/escalation, waiver reason/approver, and access log are complete.</x:v>
      </x:c>
      <x:c r="H283" s="10" t="str">
        <x:v>ADM-WF-015</x:v>
      </x:c>
      <x:c r="I283" s="10" t="str"/>
      <x:c r="J283" s="10" t="str">
        <x:v>Historical feature-spec progress ledger: done — Compliance document workflow (combined)</x:v>
      </x:c>
    </x:row>
    <x:row r="284" ht="42" customHeight="1">
      <x:c r="A284" s="10" t="str">
        <x:v>VEND-503</x:v>
      </x:c>
      <x:c r="B284" s="11" t="n">
        <x:v>283</x:v>
      </x:c>
      <x:c r="C284" s="11" t="n">
        <x:v>5</x:v>
      </x:c>
      <x:c r="D284" s="10" t="str">
        <x:v>11</x:v>
      </x:c>
      <x:c r="E284" s="10" t="str">
        <x:v>observed</x:v>
      </x:c>
      <x:c r="F284" s="10" t="str">
        <x:v>Build requirement/engagement workflow</x:v>
      </x:c>
      <x:c r="G284" s="10" t="str">
        <x:v>Tour/event/stop/domain scope, deliverables, dates, quantities, budget, owner, sourcing method, status and downstream links are required as configured.</x:v>
      </x:c>
      <x:c r="H284" s="10" t="str">
        <x:v>ADM-WF-015</x:v>
      </x:c>
      <x:c r="I284" s="10" t="str"/>
      <x:c r="J284" s="10" t="str">
        <x:v>Historical feature-spec progress ledger: done — Engagement workflow (combined)</x:v>
      </x:c>
    </x:row>
    <x:row r="285" ht="42" customHeight="1">
      <x:c r="A285" s="10" t="str">
        <x:v>VEND-504</x:v>
      </x:c>
      <x:c r="B285" s="11" t="n">
        <x:v>284</x:v>
      </x:c>
      <x:c r="C285" s="11" t="n">
        <x:v>5</x:v>
      </x:c>
      <x:c r="D285" s="10" t="str">
        <x:v>11</x:v>
      </x:c>
      <x:c r="E285" s="10" t="str">
        <x:v>observed</x:v>
      </x:c>
      <x:c r="F285" s="10" t="str">
        <x:v>Build RFP/invitation flow</x:v>
      </x:c>
      <x:c r="G285" s="10" t="str">
        <x:v>Versioned requirement package, selected vendors, question period, due date/time zone, secure vendor response and delivery audit are implemented.</x:v>
      </x:c>
      <x:c r="H285" s="10" t="str">
        <x:v>ADM-WF-015</x:v>
      </x:c>
      <x:c r="I285" s="10" t="str"/>
      <x:c r="J285" s="10" t="str">
        <x:v>Historical feature-spec progress ledger: done — RFP/invitation flow (combined)</x:v>
      </x:c>
    </x:row>
    <x:row r="286" ht="42" customHeight="1">
      <x:c r="A286" s="10" t="str">
        <x:v>VEND-505</x:v>
      </x:c>
      <x:c r="B286" s="11" t="n">
        <x:v>285</x:v>
      </x:c>
      <x:c r="C286" s="11" t="n">
        <x:v>5</x:v>
      </x:c>
      <x:c r="D286" s="10" t="str">
        <x:v>11</x:v>
      </x:c>
      <x:c r="E286" s="10" t="str">
        <x:v>observed</x:v>
      </x:c>
      <x:c r="F286" s="10" t="str">
        <x:v>Build quote submission/versioning</x:v>
      </x:c>
      <x:c r="G286" s="10" t="str">
        <x:v>Structured lines/currency/tax/fees/assumptions/exclusions/validity/files; vendor revisions retain history and cannot see competitors.</x:v>
      </x:c>
      <x:c r="H286" s="10" t="str">
        <x:v>ADM-WF-015</x:v>
      </x:c>
      <x:c r="I286" s="10" t="str"/>
      <x:c r="J286" s="10" t="str">
        <x:v>Historical feature-spec progress ledger: done — Quote submission/versioning (combined)</x:v>
      </x:c>
    </x:row>
    <x:row r="287" ht="42" customHeight="1">
      <x:c r="A287" s="10" t="str">
        <x:v>VEND-506</x:v>
      </x:c>
      <x:c r="B287" s="11" t="n">
        <x:v>286</x:v>
      </x:c>
      <x:c r="C287" s="11" t="n">
        <x:v>5</x:v>
      </x:c>
      <x:c r="D287" s="10" t="str">
        <x:v>11</x:v>
      </x:c>
      <x:c r="E287" s="10" t="str">
        <x:v>observed</x:v>
      </x:c>
      <x:c r="F287" s="10" t="str">
        <x:v>Build quote comparison/decision</x:v>
      </x:c>
      <x:c r="G287" s="10" t="str">
        <x:v>Normalize totals/currency and non-price criteria; reviewer scores/comments/conflicts, approval, decision reason, and notification are audited.</x:v>
      </x:c>
      <x:c r="H287" s="10" t="str">
        <x:v>ADM-WF-015</x:v>
      </x:c>
      <x:c r="I287" s="10" t="str"/>
      <x:c r="J287" s="10" t="str">
        <x:v>Historical feature-spec progress ledger: done — Quote comparison/decision (combined)</x:v>
      </x:c>
    </x:row>
    <x:row r="288" ht="42" customHeight="1">
      <x:c r="A288" s="10" t="str">
        <x:v>VEND-507</x:v>
      </x:c>
      <x:c r="B288" s="11" t="n">
        <x:v>287</x:v>
      </x:c>
      <x:c r="C288" s="11" t="n">
        <x:v>5</x:v>
      </x:c>
      <x:c r="D288" s="10" t="str">
        <x:v>11</x:v>
      </x:c>
      <x:c r="E288" s="10" t="str">
        <x:v>observed</x:v>
      </x:c>
      <x:c r="F288" s="10" t="str">
        <x:v>Create vendor performance closeout</x:v>
      </x:c>
      <x:c r="G288" s="10" t="str">
        <x:v>Timeliness, quality, variance, incidents, compliance, reviewer/evidence, response, and approved aggregate feed future sourcing without exposing sensitive notes.</x:v>
      </x:c>
      <x:c r="H288" s="10" t="str">
        <x:v>ADM-WF-015</x:v>
      </x:c>
      <x:c r="I288" s="10" t="str"/>
      <x:c r="J288" s="10" t="str">
        <x:v>Historical feature-spec progress ledger: done — Vendor performance closeout (combined)</x:v>
      </x:c>
    </x:row>
    <x:row r="289" ht="42" customHeight="1">
      <x:c r="A289" s="10" t="str">
        <x:v>CONT-501</x:v>
      </x:c>
      <x:c r="B289" s="11" t="n">
        <x:v>288</x:v>
      </x:c>
      <x:c r="C289" s="11" t="n">
        <x:v>5</x:v>
      </x:c>
      <x:c r="D289" s="10" t="str">
        <x:v>11</x:v>
      </x:c>
      <x:c r="E289" s="10" t="str">
        <x:v>observed</x:v>
      </x:c>
      <x:c r="F289" s="10" t="str">
        <x:v>Build versioned template library</x:v>
      </x:c>
      <x:c r="G289" s="10" t="str">
        <x:v>Template/clauses, types, variables, owner, approval, effective state and immutable versions are permissioned and tested.</x:v>
      </x:c>
      <x:c r="H289" s="10" t="str">
        <x:v>ADM-WF-015</x:v>
      </x:c>
      <x:c r="I289" s="10" t="str"/>
      <x:c r="J289" s="10" t="str">
        <x:v>Historical feature-spec progress ledger: done — Versioned template library; 32 tests</x:v>
      </x:c>
    </x:row>
    <x:row r="290" ht="42" customHeight="1">
      <x:c r="A290" s="10" t="str">
        <x:v>CONT-502</x:v>
      </x:c>
      <x:c r="B290" s="11" t="n">
        <x:v>289</x:v>
      </x:c>
      <x:c r="C290" s="11" t="n">
        <x:v>5</x:v>
      </x:c>
      <x:c r="D290" s="10" t="str">
        <x:v>11</x:v>
      </x:c>
      <x:c r="E290" s="10" t="str">
        <x:v>observed</x:v>
      </x:c>
      <x:c r="F290" s="10" t="str">
        <x:v>Build contract draft workspace</x:v>
      </x:c>
      <x:c r="G290" s="10" t="str">
        <x:v>Engagement/parties/template/structured terms/value/dates/files are validated; generated document references exact template/input/version/checksum.</x:v>
      </x:c>
      <x:c r="H290" s="10" t="str">
        <x:v>ADM-WF-015</x:v>
      </x:c>
      <x:c r="I290" s="10" t="str"/>
      <x:c r="J290" s="10" t="str">
        <x:v>Historical feature-spec progress ledger: done — Contract draft workspace (combined)</x:v>
      </x:c>
    </x:row>
    <x:row r="291" ht="42" customHeight="1">
      <x:c r="A291" s="10" t="str">
        <x:v>CONT-503</x:v>
      </x:c>
      <x:c r="B291" s="11" t="n">
        <x:v>290</x:v>
      </x:c>
      <x:c r="C291" s="11" t="n">
        <x:v>5</x:v>
      </x:c>
      <x:c r="D291" s="10" t="str">
        <x:v>11</x:v>
      </x:c>
      <x:c r="E291" s="10" t="str">
        <x:v>observed</x:v>
      </x:c>
      <x:c r="F291" s="10" t="str">
        <x:v>Add internal review/approval</x:v>
      </x:c>
      <x:c r="G291" s="10" t="str">
        <x:v>Required reviewers by type/value/risk, comments/change requests, legal/finance/business approvals, delegation and separation are audited.</x:v>
      </x:c>
      <x:c r="H291" s="10" t="str">
        <x:v>ADM-WF-015</x:v>
      </x:c>
      <x:c r="I291" s="10" t="str"/>
      <x:c r="J291" s="10" t="str">
        <x:v>Historical feature-spec progress ledger: done — Internal review/approval (combined)</x:v>
      </x:c>
    </x:row>
    <x:row r="292" ht="42" customHeight="1">
      <x:c r="A292" s="10" t="str">
        <x:v>CONT-504</x:v>
      </x:c>
      <x:c r="B292" s="11" t="n">
        <x:v>291</x:v>
      </x:c>
      <x:c r="C292" s="11" t="n">
        <x:v>5</x:v>
      </x:c>
      <x:c r="D292" s="10" t="str">
        <x:v>11</x:v>
      </x:c>
      <x:c r="E292" s="10" t="str">
        <x:v>observed</x:v>
      </x:c>
      <x:c r="F292" s="10" t="str">
        <x:v>Add counterparty negotiation versions</x:v>
      </x:c>
      <x:c r="G292" s="10" t="str">
        <x:v>Upload/send/receive revisions, compare text/structured fields, comment/decision, and selected final version without overwriting history.</x:v>
      </x:c>
      <x:c r="H292" s="10" t="str">
        <x:v>ADM-WF-015</x:v>
      </x:c>
      <x:c r="I292" s="10" t="str"/>
      <x:c r="J292" s="10" t="str">
        <x:v>Historical feature-spec progress ledger: done — Counterparty negotiation versions (combined)</x:v>
      </x:c>
    </x:row>
    <x:row r="293" ht="42" customHeight="1">
      <x:c r="A293" s="10" t="str">
        <x:v>CONT-505</x:v>
      </x:c>
      <x:c r="B293" s="11" t="n">
        <x:v>292</x:v>
      </x:c>
      <x:c r="C293" s="11" t="n">
        <x:v>5</x:v>
      </x:c>
      <x:c r="D293" s="10" t="str">
        <x:v>11</x:v>
      </x:c>
      <x:c r="E293" s="10" t="str">
        <x:v>observed</x:v>
      </x:c>
      <x:c r="F293" s="10" t="str">
        <x:v>Build signature adapter</x:v>
      </x:c>
      <x:c r="G293" s="10" t="str">
        <x:v>Manual-upload and provider modes verify signatories/sequence, provider signatures/webhooks/replay, executed file/checksum, timestamps, failure/retry, and access.</x:v>
      </x:c>
      <x:c r="H293" s="10" t="str">
        <x:v>ADM-WF-015</x:v>
      </x:c>
      <x:c r="I293" s="10" t="str"/>
      <x:c r="J293" s="10" t="str">
        <x:v>Historical feature-spec progress ledger: done — Signature adapter (combined)</x:v>
      </x:c>
    </x:row>
    <x:row r="294" ht="42" customHeight="1">
      <x:c r="A294" s="10" t="str">
        <x:v>CONT-506</x:v>
      </x:c>
      <x:c r="B294" s="11" t="n">
        <x:v>293</x:v>
      </x:c>
      <x:c r="C294" s="11" t="n">
        <x:v>5</x:v>
      </x:c>
      <x:c r="D294" s="10" t="str">
        <x:v>11</x:v>
      </x:c>
      <x:c r="E294" s="10" t="str">
        <x:v>observed</x:v>
      </x:c>
      <x:c r="F294" s="10" t="str">
        <x:v>Add amendment/termination/renewal</x:v>
      </x:c>
      <x:c r="G294" s="10" t="str">
        <x:v>New version/linked agreement preserves executed original; authority, reason, notice date, obligations, and downstream budget/PO/publication impact are shown.</x:v>
      </x:c>
      <x:c r="H294" s="10" t="str">
        <x:v>ADM-WF-015</x:v>
      </x:c>
      <x:c r="I294" s="10" t="str"/>
      <x:c r="J294" s="10" t="str">
        <x:v>Historical feature-spec progress ledger: done — Amendment/termination/renewal (combined)</x:v>
      </x:c>
    </x:row>
    <x:row r="295" ht="42" customHeight="1">
      <x:c r="A295" s="10" t="str">
        <x:v>CONT-507</x:v>
      </x:c>
      <x:c r="B295" s="11" t="n">
        <x:v>294</x:v>
      </x:c>
      <x:c r="C295" s="11" t="n">
        <x:v>5</x:v>
      </x:c>
      <x:c r="D295" s="10" t="str">
        <x:v>11</x:v>
      </x:c>
      <x:c r="E295" s="10" t="str">
        <x:v>observed</x:v>
      </x:c>
      <x:c r="F295" s="10" t="str">
        <x:v>Build obligation tracker</x:v>
      </x:c>
      <x:c r="G295" s="10" t="str">
        <x:v>Extract/enter deliverable/payment/notice/insurance/option/renewal milestones with owner/due/status/evidence/reminder/escalation and event/tour visibility.</x:v>
      </x:c>
      <x:c r="H295" s="10" t="str">
        <x:v>ADM-WF-015</x:v>
      </x:c>
      <x:c r="I295" s="10" t="str"/>
      <x:c r="J295" s="10" t="str">
        <x:v>Historical feature-spec progress ledger: done — Obligation tracker (combined)</x:v>
      </x:c>
    </x:row>
    <x:row r="296" ht="42" customHeight="1">
      <x:c r="A296" s="10" t="str">
        <x:v>CONT-508</x:v>
      </x:c>
      <x:c r="B296" s="11" t="n">
        <x:v>295</x:v>
      </x:c>
      <x:c r="C296" s="11" t="n">
        <x:v>5</x:v>
      </x:c>
      <x:c r="D296" s="10" t="str">
        <x:v>11</x:v>
      </x:c>
      <x:c r="E296" s="10" t="str">
        <x:v>observed</x:v>
      </x:c>
      <x:c r="F296" s="10" t="str">
        <x:v>Connect contract to PO/invoice/settlement</x:v>
      </x:c>
      <x:c r="G296" s="10" t="str">
        <x:v>Contract value/terms/obligations link finance records; mismatch/stale version is visible; finance posting remains in finance service.</x:v>
      </x:c>
      <x:c r="H296" s="10" t="str">
        <x:v>ADM-WF-015</x:v>
      </x:c>
      <x:c r="I296" s="10" t="str"/>
      <x:c r="J296" s="10" t="str">
        <x:v>Historical feature-spec progress ledger: done — Contract→PO/invoice/settlement link (combined)</x:v>
      </x:c>
    </x:row>
    <x:row r="297" ht="42" customHeight="1">
      <x:c r="A297" s="10" t="str">
        <x:v>TRAVEL-501</x:v>
      </x:c>
      <x:c r="B297" s="11" t="n">
        <x:v>296</x:v>
      </x:c>
      <x:c r="C297" s="11" t="n">
        <x:v>5</x:v>
      </x:c>
      <x:c r="D297" s="10" t="str">
        <x:v>07</x:v>
      </x:c>
      <x:c r="E297" s="10" t="str">
        <x:v>observed</x:v>
      </x:c>
      <x:c r="F297" s="10" t="str">
        <x:v>Add provider adapter boundary</x:v>
      </x:c>
      <x:c r="G297" s="10" t="str">
        <x:v>Imported booking updates are verified/idempotent, preserve provider event, map to canonical state, and route unmatched records for review.</x:v>
      </x:c>
      <x:c r="H297" s="10" t="str">
        <x:v>ADM-WF-013</x:v>
      </x:c>
      <x:c r="I297" s="10" t="str"/>
      <x:c r="J297" s="10" t="str">
        <x:v>Historical feature-spec progress ledger: done — Provider adapter boundary; 33 tests (combined)</x:v>
      </x:c>
    </x:row>
    <x:row r="298" ht="42" customHeight="1">
      <x:c r="A298" s="10" t="str">
        <x:v>TRAVEL-502</x:v>
      </x:c>
      <x:c r="B298" s="11" t="n">
        <x:v>297</x:v>
      </x:c>
      <x:c r="C298" s="11" t="n">
        <x:v>5</x:v>
      </x:c>
      <x:c r="D298" s="10" t="str">
        <x:v>07</x:v>
      </x:c>
      <x:c r="E298" s="10" t="str">
        <x:v>observed</x:v>
      </x:c>
      <x:c r="F298" s="10" t="str">
        <x:v>Add document storage</x:v>
      </x:c>
      <x:c r="G298" s="10" t="str">
        <x:v>Tickets, vouchers, confirmations, manifests, and hotel lists use malware-scanned org-scoped storage with audience-aware access and retention.</x:v>
      </x:c>
      <x:c r="H298" s="10" t="str">
        <x:v>ADM-WF-013</x:v>
      </x:c>
      <x:c r="I298" s="10" t="str"/>
      <x:c r="J298" s="10" t="str">
        <x:v>Historical feature-spec progress ledger: done — Document storage (combined)</x:v>
      </x:c>
    </x:row>
    <x:row r="299" ht="42" customHeight="1">
      <x:c r="A299" s="10" t="str">
        <x:v>TOUR-501</x:v>
      </x:c>
      <x:c r="B299" s="11" t="n">
        <x:v>298</x:v>
      </x:c>
      <x:c r="C299" s="11" t="n">
        <x:v>5</x:v>
      </x:c>
      <x:c r="D299" s="10" t="str">
        <x:v>02</x:v>
      </x:c>
      <x:c r="E299" s="10" t="str">
        <x:v>observed</x:v>
      </x:c>
      <x:c r="F299" s="10" t="str">
        <x:v>Integrate commercial closeout</x:v>
      </x:c>
      <x:c r="G299" s="10" t="str">
        <x:v>Ticketing, budget, contract, invoice, and settlement readiness controls complete/settled transitions.</x:v>
      </x:c>
      <x:c r="H299" s="10" t="str">
        <x:v>ADM-WF-005</x:v>
      </x:c>
      <x:c r="I299" s="10" t="str"/>
      <x:c r="J299" s="10" t="str">
        <x:v>Historical feature-spec progress ledger: done — Commercial closeout readiness (combined)</x:v>
      </x:c>
    </x:row>
    <x:row r="300" ht="42" customHeight="1">
      <x:c r="A300" s="10" t="str">
        <x:v>TOUR-502</x:v>
      </x:c>
      <x:c r="B300" s="11" t="n">
        <x:v>299</x:v>
      </x:c>
      <x:c r="C300" s="11" t="n">
        <x:v>5</x:v>
      </x:c>
      <x:c r="D300" s="10" t="str">
        <x:v>02</x:v>
      </x:c>
      <x:c r="E300" s="10" t="str">
        <x:v>observed</x:v>
      </x:c>
      <x:c r="F300" s="10" t="str">
        <x:v>Add cancellation impact workflow</x:v>
      </x:c>
      <x:c r="G300" s="10" t="str">
        <x:v>Cancellation previews notifications, reservations, vendor/contract obligations, ticket refunds, staff work, publications, and budget effects; follow-ups are assigned and tracked.</x:v>
      </x:c>
      <x:c r="H300" s="10" t="str">
        <x:v>ADM-WF-005</x:v>
      </x:c>
      <x:c r="I300" s="10" t="str"/>
      <x:c r="J300" s="10" t="str">
        <x:v>Historical feature-spec progress ledger: done — Cancellation impact workflow (combined)</x:v>
      </x:c>
    </x:row>
    <x:row r="301" ht="42" customHeight="1">
      <x:c r="A301" s="10" t="str">
        <x:v>REP-501</x:v>
      </x:c>
      <x:c r="B301" s="11" t="n">
        <x:v>300</x:v>
      </x:c>
      <x:c r="C301" s="11" t="n">
        <x:v>5</x:v>
      </x:c>
      <x:c r="D301" s="10" t="str">
        <x:v>13</x:v>
      </x:c>
      <x:c r="E301" s="10" t="str">
        <x:v>observed</x:v>
      </x:c>
      <x:c r="F301" s="10" t="str">
        <x:v>Ticketing dashboard</x:v>
      </x:c>
      <x:c r="G301" s="10" t="str">
        <x:v>Canonical inventory ledger/provider state feeds event/tour totals; allocations/refunds/comps/attendance and reconciliation variance are explicit.</x:v>
      </x:c>
      <x:c r="H301" s="10" t="str">
        <x:v>ADM-WF-017</x:v>
      </x:c>
      <x:c r="I301" s="10" t="str"/>
      <x:c r="J301" s="10" t="str">
        <x:v>Historical feature-spec progress ledger: done — Ticketing dashboard metrics (combined)</x:v>
      </x:c>
    </x:row>
    <x:row r="302" ht="42" customHeight="1">
      <x:c r="A302" s="10" t="str">
        <x:v>REP-502</x:v>
      </x:c>
      <x:c r="B302" s="11" t="n">
        <x:v>301</x:v>
      </x:c>
      <x:c r="C302" s="11" t="n">
        <x:v>5</x:v>
      </x:c>
      <x:c r="D302" s="10" t="str">
        <x:v>13</x:v>
      </x:c>
      <x:c r="E302" s="10" t="str">
        <x:v>observed</x:v>
      </x:c>
      <x:c r="F302" s="10" t="str">
        <x:v>Finance/profitability dashboard</x:v>
      </x:c>
      <x:c r="G302" s="10" t="str">
        <x:v>Approved budget/forecast/commitment/actual/settlement data displays original/reporting currency, FX freshness, variance and outstanding items.</x:v>
      </x:c>
      <x:c r="H302" s="10" t="str">
        <x:v>ADM-WF-017</x:v>
      </x:c>
      <x:c r="I302" s="10" t="str"/>
      <x:c r="J302" s="10" t="str">
        <x:v>Historical feature-spec progress ledger: done — Finance/profitability dashboard metrics (combined)</x:v>
      </x:c>
    </x:row>
    <x:row r="303" ht="42" customHeight="1">
      <x:c r="A303" s="10" t="str">
        <x:v>REP-503</x:v>
      </x:c>
      <x:c r="B303" s="11" t="n">
        <x:v>302</x:v>
      </x:c>
      <x:c r="C303" s="11" t="n">
        <x:v>5</x:v>
      </x:c>
      <x:c r="D303" s="10" t="str">
        <x:v>13</x:v>
      </x:c>
      <x:c r="E303" s="10" t="str">
        <x:v>observed</x:v>
      </x:c>
      <x:c r="F303" s="10" t="str">
        <x:v>Vendor/contract dashboard</x:v>
      </x:c>
      <x:c r="G303" s="10" t="str">
        <x:v>Engagement/RFP/quote/compliance/contract/signature/obligation/PO/invoice status and risk are attributable and permissioned.</x:v>
      </x:c>
      <x:c r="H303" s="10" t="str">
        <x:v>ADM-WF-017</x:v>
      </x:c>
      <x:c r="I303" s="10" t="str"/>
      <x:c r="J303" s="10" t="str">
        <x:v>Historical feature-spec progress ledger: done — Vendor/contract dashboard metrics (combined)</x:v>
      </x:c>
    </x:row>
    <x:row r="304" ht="42" customHeight="1">
      <x:c r="A304" s="10" t="str">
        <x:v>REL-501</x:v>
      </x:c>
      <x:c r="B304" s="11" t="n">
        <x:v>303</x:v>
      </x:c>
      <x:c r="C304" s="11" t="n">
        <x:v>5</x:v>
      </x:c>
      <x:c r="D304" s="10" t="str">
        <x:v>14</x:v>
      </x:c>
      <x:c r="E304" s="10" t="str">
        <x:v>observed</x:v>
      </x:c>
      <x:c r="F304" s="10" t="str">
        <x:v>Add provider contract sandboxes</x:v>
      </x:c>
      <x:c r="G304" s="10" t="str">
        <x:v>Ticketing/signature/email/SMS/map/accounting adapters verify signatures, replay/order, rate limit, timeout, retry, outage and reconciliation before enablement.</x:v>
      </x:c>
      <x:c r="H304" s="10" t="str">
        <x:v>ADM-WF-017</x:v>
      </x:c>
      <x:c r="I304" s="10" t="str"/>
      <x:c r="J304" s="10" t="str">
        <x:v>Historical feature-spec progress ledger: done — Provider contract sandboxes (combined)</x:v>
      </x:c>
    </x:row>
    <x:row r="305" ht="42" customHeight="1">
      <x:c r="A305" s="10" t="str">
        <x:v>REP-601</x:v>
      </x:c>
      <x:c r="B305" s="11" t="n">
        <x:v>304</x:v>
      </x:c>
      <x:c r="C305" s="11" t="n">
        <x:v>6</x:v>
      </x:c>
      <x:c r="D305" s="10" t="str">
        <x:v>13</x:v>
      </x:c>
      <x:c r="E305" s="10" t="str">
        <x:v>observed</x:v>
      </x:c>
      <x:c r="F305" s="10" t="str">
        <x:v>Add reporting freshness/reconciliation UI</x:v>
      </x:c>
      <x:c r="G305" s="10" t="str">
        <x:v>Users see source completeness/watermark and last reconciliation; stale/partial values are not styled as final.</x:v>
      </x:c>
      <x:c r="H305" s="10" t="str">
        <x:v>ADM-WF-017</x:v>
      </x:c>
      <x:c r="I305" s="10" t="str"/>
      <x:c r="J305" s="10" t="str">
        <x:v>Historical feature-spec progress ledger: done — rep-exp-phase6.ts + 31 tests</x:v>
      </x:c>
    </x:row>
    <x:row r="306" ht="42" customHeight="1">
      <x:c r="A306" s="10" t="str">
        <x:v>REP-602</x:v>
      </x:c>
      <x:c r="B306" s="11" t="n">
        <x:v>305</x:v>
      </x:c>
      <x:c r="C306" s="11" t="n">
        <x:v>6</x:v>
      </x:c>
      <x:c r="D306" s="10" t="str">
        <x:v>13</x:v>
      </x:c>
      <x:c r="E306" s="10" t="str">
        <x:v>observed</x:v>
      </x:c>
      <x:c r="F306" s="10" t="str">
        <x:v>Add data-quality monitors</x:v>
      </x:c>
      <x:c r="G306" s="10" t="str">
        <x:v>Orphan/unscoped/duplicate source, negative/impossible quantities, mismatched totals, missing dimensions and stale projection create owned alerts.</x:v>
      </x:c>
      <x:c r="H306" s="10" t="str">
        <x:v>ADM-WF-017</x:v>
      </x:c>
      <x:c r="I306" s="10" t="str"/>
      <x:c r="J306" s="10" t="str">
        <x:v>Historical feature-spec progress ledger: done — rep-exp-phase6.ts (combined)</x:v>
      </x:c>
    </x:row>
    <x:row r="307" ht="42" customHeight="1">
      <x:c r="A307" s="10" t="str">
        <x:v>REP-603</x:v>
      </x:c>
      <x:c r="B307" s="11" t="n">
        <x:v>306</x:v>
      </x:c>
      <x:c r="C307" s="11" t="n">
        <x:v>6</x:v>
      </x:c>
      <x:c r="D307" s="10" t="str">
        <x:v>13</x:v>
      </x:c>
      <x:c r="E307" s="10" t="str">
        <x:v>observed</x:v>
      </x:c>
      <x:c r="F307" s="10" t="str">
        <x:v>Establish performance budgets</x:v>
      </x:c>
      <x:c r="G307" s="10" t="str">
        <x:v>Representative tour/org queries and exports meet agreed p50/p95/queue/render/file-size targets without loading entire raw graphs into clients.</x:v>
      </x:c>
      <x:c r="H307" s="10" t="str">
        <x:v>ADM-WF-017</x:v>
      </x:c>
      <x:c r="I307" s="10" t="str"/>
      <x:c r="J307" s="10" t="str">
        <x:v>Historical feature-spec progress ledger: done — rep-exp-phase6.ts (combined)</x:v>
      </x:c>
    </x:row>
    <x:row r="308" ht="42" customHeight="1">
      <x:c r="A308" s="10" t="str">
        <x:v>REP-604</x:v>
      </x:c>
      <x:c r="B308" s="11" t="n">
        <x:v>307</x:v>
      </x:c>
      <x:c r="C308" s="11" t="n">
        <x:v>6</x:v>
      </x:c>
      <x:c r="D308" s="10" t="str">
        <x:v>13</x:v>
      </x:c>
      <x:c r="E308" s="10" t="str">
        <x:v>observed</x:v>
      </x:c>
      <x:c r="F308" s="10" t="str">
        <x:v>Retire duplicated client aggregation</x:v>
      </x:c>
      <x:c r="G308" s="10" t="str">
        <x:v>UI consumes governed read models; old formulas/fanout are removed after comparison reports match approved tolerances.</x:v>
      </x:c>
      <x:c r="H308" s="10" t="str">
        <x:v>ADM-WF-017</x:v>
      </x:c>
      <x:c r="I308" s="10" t="str"/>
      <x:c r="J308" s="10" t="str">
        <x:v>Historical feature-spec progress ledger: done — rep-exp-phase6.ts (combined)</x:v>
      </x:c>
    </x:row>
    <x:row r="309" ht="42" customHeight="1">
      <x:c r="A309" s="10" t="str">
        <x:v>EXP-601</x:v>
      </x:c>
      <x:c r="B309" s="11" t="n">
        <x:v>308</x:v>
      </x:c>
      <x:c r="C309" s="11" t="n">
        <x:v>6</x:v>
      </x:c>
      <x:c r="D309" s="10" t="str">
        <x:v>13</x:v>
      </x:c>
      <x:c r="E309" s="10" t="str">
        <x:v>observed</x:v>
      </x:c>
      <x:c r="F309" s="10" t="str">
        <x:v>Build export job service</x:v>
      </x:c>
      <x:c r="G309" s="10" t="str">
        <x:v>Validates org/capability/filter/version/audience, snapshots inputs, renders asynchronously, retries idempotently, expires files, and writes audit/access logs.</x:v>
      </x:c>
      <x:c r="H309" s="10" t="str">
        <x:v>ADM-WF-017</x:v>
      </x:c>
      <x:c r="I309" s="10" t="str"/>
      <x:c r="J309" s="10" t="str">
        <x:v>Historical feature-spec progress ledger: done — rep-exp-phase6.ts (combined)</x:v>
      </x:c>
    </x:row>
    <x:row r="310" ht="42" customHeight="1">
      <x:c r="A310" s="10" t="str">
        <x:v>EXP-602</x:v>
      </x:c>
      <x:c r="B310" s="11" t="n">
        <x:v>309</x:v>
      </x:c>
      <x:c r="C310" s="11" t="n">
        <x:v>6</x:v>
      </x:c>
      <x:c r="D310" s="10" t="str">
        <x:v>13</x:v>
      </x:c>
      <x:c r="E310" s="10" t="str">
        <x:v>observed</x:v>
      </x:c>
      <x:c r="F310" s="10" t="str">
        <x:v>Version CSV/XLSX schemas</x:v>
      </x:c>
      <x:c r="G310" s="10" t="str">
        <x:v>Columns/types/units/time zone/currency/schema version and backward policy are documented; spreadsheet formula injection is prevented.</x:v>
      </x:c>
      <x:c r="H310" s="10" t="str">
        <x:v>ADM-WF-017</x:v>
      </x:c>
      <x:c r="I310" s="10" t="str"/>
      <x:c r="J310" s="10" t="str">
        <x:v>Historical feature-spec progress ledger: done — rep-exp-phase6.ts (combined)</x:v>
      </x:c>
    </x:row>
    <x:row r="311" ht="42" customHeight="1">
      <x:c r="A311" s="10" t="str">
        <x:v>EXP-603</x:v>
      </x:c>
      <x:c r="B311" s="11" t="n">
        <x:v>310</x:v>
      </x:c>
      <x:c r="C311" s="11" t="n">
        <x:v>6</x:v>
      </x:c>
      <x:c r="D311" s="10" t="str">
        <x:v>13</x:v>
      </x:c>
      <x:c r="E311" s="10" t="str">
        <x:v>observed</x:v>
      </x:c>
      <x:c r="F311" s="10" t="str">
        <x:v>Build web/PDF tour book</x:v>
      </x:c>
      <x:c r="G311" s="10" t="str">
        <x:v>Composable authorized sections, table of contents, page headers/version/local time context, accessible web equivalent, overflow/empty/error handling, checksum and publication link are complete.</x:v>
      </x:c>
      <x:c r="H311" s="10" t="str">
        <x:v>ADM-WF-017</x:v>
      </x:c>
      <x:c r="I311" s="10" t="str"/>
      <x:c r="J311" s="10" t="str">
        <x:v>Historical feature-spec progress ledger: done — rep-exp-phase6.ts (combined)</x:v>
      </x:c>
    </x:row>
    <x:row r="312" ht="42" customHeight="1">
      <x:c r="A312" s="10" t="str">
        <x:v>EXP-604</x:v>
      </x:c>
      <x:c r="B312" s="11" t="n">
        <x:v>311</x:v>
      </x:c>
      <x:c r="C312" s="11" t="n">
        <x:v>6</x:v>
      </x:c>
      <x:c r="D312" s="10" t="str">
        <x:v>13</x:v>
      </x:c>
      <x:c r="E312" s="10" t="str">
        <x:v>observed</x:v>
      </x:c>
      <x:c r="F312" s="10" t="str">
        <x:v>Harden ICS/feed exports</x:v>
      </x:c>
      <x:c r="G312" s="10" t="str">
        <x:v>Uses calendar contract and scoped tokens; stable UIDs, updates/cancellations, projection, access logs and revocation are verified.</x:v>
      </x:c>
      <x:c r="H312" s="10" t="str">
        <x:v>ADM-WF-017</x:v>
      </x:c>
      <x:c r="I312" s="10" t="str"/>
      <x:c r="J312" s="10" t="str">
        <x:v>Historical feature-spec progress ledger: done — rep-exp-phase6.ts (combined)</x:v>
      </x:c>
    </x:row>
    <x:row r="313" ht="42" customHeight="1">
      <x:c r="A313" s="10" t="str">
        <x:v>TOUR-601</x:v>
      </x:c>
      <x:c r="B313" s="11" t="n">
        <x:v>312</x:v>
      </x:c>
      <x:c r="C313" s="11" t="n">
        <x:v>6</x:v>
      </x:c>
      <x:c r="D313" s="10" t="str">
        <x:v>02</x:v>
      </x:c>
      <x:c r="E313" s="10" t="str">
        <x:v>observed</x:v>
      </x:c>
      <x:c r="F313" s="10" t="str">
        <x:v>Materialize/cache summary read model</x:v>
      </x:c>
      <x:c r="G313" s="10" t="str">
        <x:v>Event-driven updates meet freshness SLO; fallback rebuild exists; cache keys include org, tour, access class, and version.</x:v>
      </x:c>
      <x:c r="H313" s="10" t="str">
        <x:v>ADM-WF-005</x:v>
      </x:c>
      <x:c r="I313" s="10" t="str"/>
      <x:c r="J313" s="10" t="str">
        <x:v>Historical feature-spec progress ledger: done — tour-phase6.ts + 23 tests</x:v>
      </x:c>
    </x:row>
    <x:row r="314" ht="42" customHeight="1">
      <x:c r="A314" s="10" t="str">
        <x:v>TOUR-602</x:v>
      </x:c>
      <x:c r="B314" s="11" t="n">
        <x:v>313</x:v>
      </x:c>
      <x:c r="C314" s="11" t="n">
        <x:v>6</x:v>
      </x:c>
      <x:c r="D314" s="10" t="str">
        <x:v>02</x:v>
      </x:c>
      <x:c r="E314" s="10" t="str">
        <x:v>observed</x:v>
      </x:c>
      <x:c r="F314" s="10" t="str">
        <x:v>Establish portfolio performance budget</x:v>
      </x:c>
      <x:c r="G314" s="10" t="str">
        <x:v>Representative 500/5,000-tour organization tests meet agreed query, render, interaction, and bundle targets.</x:v>
      </x:c>
      <x:c r="H314" s="10" t="str">
        <x:v>ADM-WF-005</x:v>
      </x:c>
      <x:c r="I314" s="10" t="str"/>
      <x:c r="J314" s="10" t="str">
        <x:v>Historical feature-spec progress ledger: done — tour-phase6.ts (combined)</x:v>
      </x:c>
    </x:row>
    <x:row r="315" ht="42" customHeight="1">
      <x:c r="A315" s="10" t="str">
        <x:v>TOUR-603</x:v>
      </x:c>
      <x:c r="B315" s="11" t="n">
        <x:v>314</x:v>
      </x:c>
      <x:c r="C315" s="11" t="n">
        <x:v>6</x:v>
      </x:c>
      <x:c r="D315" s="10" t="str">
        <x:v>02</x:v>
      </x:c>
      <x:c r="E315" s="10" t="str">
        <x:v>observed</x:v>
      </x:c>
      <x:c r="F315" s="10" t="str">
        <x:v>Complete lifecycle E2E suite</x:v>
      </x:c>
      <x:c r="G315" s="10" t="str">
        <x:v>Create through settled/archive passes for role variants, concurrent editors, failed dependencies, cancellation, and rollback scenarios.</x:v>
      </x:c>
      <x:c r="H315" s="10" t="str">
        <x:v>ADM-WF-005</x:v>
      </x:c>
      <x:c r="I315" s="10" t="str"/>
      <x:c r="J315" s="10" t="str">
        <x:v>Historical feature-spec progress ledger: done — tour-phase6.ts (combined)</x:v>
      </x:c>
    </x:row>
    <x:row r="316" ht="42" customHeight="1">
      <x:c r="A316" s="10" t="str">
        <x:v>TOUR-604</x:v>
      </x:c>
      <x:c r="B316" s="11" t="n">
        <x:v>315</x:v>
      </x:c>
      <x:c r="C316" s="11" t="n">
        <x:v>6</x:v>
      </x:c>
      <x:c r="D316" s="10" t="str">
        <x:v>02</x:v>
      </x:c>
      <x:c r="E316" s="10" t="str">
        <x:v>observed</x:v>
      </x:c>
      <x:c r="F316" s="10" t="str">
        <x:v>Retire legacy tour UI/API paths</x:v>
      </x:c>
      <x:c r="G316" s="10" t="str">
        <x:v>Usage telemetry is zero, compatibility reads are reconciled, flags removed, policies/routes/code deleted, and migration report approved.</x:v>
      </x:c>
      <x:c r="H316" s="10" t="str">
        <x:v>ADM-WF-005</x:v>
      </x:c>
      <x:c r="I316" s="10" t="str"/>
      <x:c r="J316" s="10" t="str">
        <x:v>Historical feature-spec progress ledger: done — tour-phase6.ts (combined)</x:v>
      </x:c>
    </x:row>
    <x:row r="317" ht="42" customHeight="1">
      <x:c r="A317" s="10" t="str">
        <x:v>PLAN-602</x:v>
      </x:c>
      <x:c r="B317" s="11" t="n">
        <x:v>316</x:v>
      </x:c>
      <x:c r="C317" s="11" t="n">
        <x:v>6</x:v>
      </x:c>
      <x:c r="D317" s="10" t="str">
        <x:v>03</x:v>
      </x:c>
      <x:c r="E317" s="10" t="str">
        <x:v>observed</x:v>
      </x:c>
      <x:c r="F317" s="10" t="str">
        <x:v>Complete migration reconciliation</x:v>
      </x:c>
      <x:c r="G317" s="10" t="str">
        <x:v>JSON, `tour_events`, and normalized plan match for all migrated tours; comparison job reports zero unexplained differences before old writes stop.</x:v>
      </x:c>
      <x:c r="H317" s="10" t="str">
        <x:v>ADM-WF-005</x:v>
      </x:c>
      <x:c r="I317" s="10" t="str"/>
      <x:c r="J317" s="10" t="str">
        <x:v>Historical feature-spec progress ledger: done — plan-route-phase6.ts + 19 tests</x:v>
      </x:c>
    </x:row>
    <x:row r="318" ht="42" customHeight="1">
      <x:c r="A318" s="10" t="str">
        <x:v>PLAN-603</x:v>
      </x:c>
      <x:c r="B318" s="11" t="n">
        <x:v>317</x:v>
      </x:c>
      <x:c r="C318" s="11" t="n">
        <x:v>6</x:v>
      </x:c>
      <x:c r="D318" s="10" t="str">
        <x:v>03</x:v>
      </x:c>
      <x:c r="E318" s="10" t="str">
        <x:v>observed</x:v>
      </x:c>
      <x:c r="F318" s="10" t="str">
        <x:v>Retire old planner components/write paths</x:v>
      </x:c>
      <x:c r="G318" s="10" t="str">
        <x:v>Telemetry shows no use, feature flags removed, dead components deleted, and only canonical plan commands remain.</x:v>
      </x:c>
      <x:c r="H318" s="10" t="str">
        <x:v>ADM-WF-005</x:v>
      </x:c>
      <x:c r="I318" s="10" t="str"/>
      <x:c r="J318" s="10" t="str">
        <x:v>Historical feature-spec progress ledger: done — plan-route-phase6.ts (combined)</x:v>
      </x:c>
    </x:row>
    <x:row r="319" ht="42" customHeight="1">
      <x:c r="A319" s="10" t="str">
        <x:v>ROUTE-601</x:v>
      </x:c>
      <x:c r="B319" s="11" t="n">
        <x:v>318</x:v>
      </x:c>
      <x:c r="C319" s="11" t="n">
        <x:v>6</x:v>
      </x:c>
      <x:c r="D319" s="10" t="str">
        <x:v>03</x:v>
      </x:c>
      <x:c r="E319" s="10" t="str">
        <x:v>observed</x:v>
      </x:c>
      <x:c r="F319" s="10" t="str">
        <x:v>Add route metrics and alerting</x:v>
      </x:c>
      <x:c r="G319" s="10" t="str">
        <x:v>Track calculation errors, provider latency/cost, override rate, unresolved conflicts, stale legs, and last successful recompute.</x:v>
      </x:c>
      <x:c r="H319" s="10" t="str">
        <x:v>ADM-WF-005; ADM-WF-013</x:v>
      </x:c>
      <x:c r="I319" s="10" t="str"/>
      <x:c r="J319" s="10" t="str">
        <x:v>Historical feature-spec progress ledger: done — plan-route-phase6.ts (combined)</x:v>
      </x:c>
    </x:row>
    <x:row r="320" ht="42" customHeight="1">
      <x:c r="A320" s="10" t="str">
        <x:v>PUB-601</x:v>
      </x:c>
      <x:c r="B320" s="11" t="n">
        <x:v>319</x:v>
      </x:c>
      <x:c r="C320" s="11" t="n">
        <x:v>6</x:v>
      </x:c>
      <x:c r="D320" s="10" t="str">
        <x:v>04</x:v>
      </x:c>
      <x:c r="E320" s="10" t="str">
        <x:v>observed</x:v>
      </x:c>
      <x:c r="F320" s="10" t="str">
        <x:v>Publication SLO dashboard</x:v>
      </x:c>
      <x:c r="G320" s="10" t="str">
        <x:v>Measures queue age, success, provider latency/error, retry/dead-letter count, open/ack rate, stale offline clients, and unauthorized-token attempts.</x:v>
      </x:c>
      <x:c r="H320" s="10" t="str">
        <x:v>ADM-WF-004; ADM-WF-012</x:v>
      </x:c>
      <x:c r="I320" s="10" t="str"/>
      <x:c r="J320" s="10" t="str">
        <x:v>Historical feature-spec progress ledger: done — pub-phase6.ts + 16 tests</x:v>
      </x:c>
    </x:row>
    <x:row r="321" ht="42" customHeight="1">
      <x:c r="A321" s="10" t="str">
        <x:v>PUB-602</x:v>
      </x:c>
      <x:c r="B321" s="11" t="n">
        <x:v>320</x:v>
      </x:c>
      <x:c r="C321" s="11" t="n">
        <x:v>6</x:v>
      </x:c>
      <x:c r="D321" s="10" t="str">
        <x:v>04</x:v>
      </x:c>
      <x:c r="E321" s="10" t="str">
        <x:v>observed</x:v>
      </x:c>
      <x:c r="F321" s="10" t="str">
        <x:v>Failure-injection tests</x:v>
      </x:c>
      <x:c r="G321" s="10" t="str">
        <x:v>Database/outbox/provider/offline failures cannot lose a publication, duplicate recipients, mark false success, or expose another audience's content.</x:v>
      </x:c>
      <x:c r="H321" s="10" t="str">
        <x:v>ADM-WF-004; ADM-WF-012</x:v>
      </x:c>
      <x:c r="I321" s="10" t="str"/>
      <x:c r="J321" s="10" t="str">
        <x:v>Historical feature-spec progress ledger: done — pub-phase6.ts (combined)</x:v>
      </x:c>
    </x:row>
    <x:row r="322" ht="42" customHeight="1">
      <x:c r="A322" s="10" t="str">
        <x:v>PUB-603</x:v>
      </x:c>
      <x:c r="B322" s="11" t="n">
        <x:v>321</x:v>
      </x:c>
      <x:c r="C322" s="11" t="n">
        <x:v>6</x:v>
      </x:c>
      <x:c r="D322" s="10" t="str">
        <x:v>04</x:v>
      </x:c>
      <x:c r="E322" s="10" t="str">
        <x:v>observed</x:v>
      </x:c>
      <x:c r="F322" s="10" t="str">
        <x:v>Token/security review</x:v>
      </x:c>
      <x:c r="G322" s="10" t="str">
        <x:v>Tests cover enumeration, replay, referrer leakage, caching, brute force, passcode throttling, revocation, screenshot/download expectations, and child assets.</x:v>
      </x:c>
      <x:c r="H322" s="10" t="str">
        <x:v>ADM-WF-004; ADM-WF-012</x:v>
      </x:c>
      <x:c r="I322" s="10" t="str"/>
      <x:c r="J322" s="10" t="str">
        <x:v>Historical feature-spec progress ledger: done — pub-phase6.ts (combined)</x:v>
      </x:c>
    </x:row>
    <x:row r="323" ht="42" customHeight="1">
      <x:c r="A323" s="10" t="str">
        <x:v>PUB-604</x:v>
      </x:c>
      <x:c r="B323" s="11" t="n">
        <x:v>322</x:v>
      </x:c>
      <x:c r="C323" s="11" t="n">
        <x:v>6</x:v>
      </x:c>
      <x:c r="D323" s="10" t="str">
        <x:v>04</x:v>
      </x:c>
      <x:c r="E323" s="10" t="str">
        <x:v>observed</x:v>
      </x:c>
      <x:c r="F323" s="10" t="str">
        <x:v>Retire legacy Work Mode fanout</x:v>
      </x:c>
      <x:c r="G323" s="10" t="str">
        <x:v>Comparison shows canonical assignments/deliveries complete; legacy inserts and status-only publish paths are removed.</x:v>
      </x:c>
      <x:c r="H323" s="10" t="str">
        <x:v>ADM-WF-004; ADM-WF-012</x:v>
      </x:c>
      <x:c r="I323" s="10" t="str"/>
      <x:c r="J323" s="10" t="str">
        <x:v>Historical feature-spec progress ledger: done — pub-phase6.ts (combined)</x:v>
      </x:c>
    </x:row>
    <x:row r="324" ht="42" customHeight="1">
      <x:c r="A324" s="10" t="str">
        <x:v>LIVE-601</x:v>
      </x:c>
      <x:c r="B324" s="11" t="n">
        <x:v>323</x:v>
      </x:c>
      <x:c r="C324" s="11" t="n">
        <x:v>6</x:v>
      </x:c>
      <x:c r="D324" s="10" t="str">
        <x:v>05</x:v>
      </x:c>
      <x:c r="E324" s="10" t="str">
        <x:v>observed</x:v>
      </x:c>
      <x:c r="F324" s="10" t="str">
        <x:v>Add operational observability</x:v>
      </x:c>
      <x:c r="G324" s="10" t="str">
        <x:v>Alert on realtime failures, stale clients, notification backlog, overdue critical tasks, missing acknowledgements, check-in anomalies, and unresolved high-severity incidents.</x:v>
      </x:c>
      <x:c r="H324" s="10" t="str">
        <x:v>ADM-WF-004; ADM-WF-008</x:v>
      </x:c>
      <x:c r="I324" s="10" t="str"/>
      <x:c r="J324" s="10" t="str">
        <x:v>Historical feature-spec progress ledger: done — live-work-phase6.ts + 25 tests</x:v>
      </x:c>
    </x:row>
    <x:row r="325" ht="42" customHeight="1">
      <x:c r="A325" s="10" t="str">
        <x:v>WORK-601</x:v>
      </x:c>
      <x:c r="B325" s="11" t="n">
        <x:v>324</x:v>
      </x:c>
      <x:c r="C325" s="11" t="n">
        <x:v>6</x:v>
      </x:c>
      <x:c r="D325" s="10" t="str">
        <x:v>06</x:v>
      </x:c>
      <x:c r="E325" s="10" t="str">
        <x:v>observed</x:v>
      </x:c>
      <x:c r="F325" s="10" t="str">
        <x:v>Capture attendance and actual time</x:v>
      </x:c>
      <x:c r="G325" s="10" t="str">
        <x:v>Check-in/out/manual correction with reason/approval, offline recovery, and audit; planned shifts remain versioned.</x:v>
      </x:c>
      <x:c r="H325" s="10" t="str">
        <x:v>ADM-WF-008</x:v>
      </x:c>
      <x:c r="I325" s="10" t="str"/>
      <x:c r="J325" s="10" t="str">
        <x:v>Historical feature-spec progress ledger: done — live-work-phase6.ts (combined)</x:v>
      </x:c>
    </x:row>
    <x:row r="326" ht="42" customHeight="1">
      <x:c r="A326" s="10" t="str">
        <x:v>WORK-602</x:v>
      </x:c>
      <x:c r="B326" s="11" t="n">
        <x:v>325</x:v>
      </x:c>
      <x:c r="C326" s="11" t="n">
        <x:v>6</x:v>
      </x:c>
      <x:c r="D326" s="10" t="str">
        <x:v>06</x:v>
      </x:c>
      <x:c r="E326" s="10" t="str">
        <x:v>observed</x:v>
      </x:c>
      <x:c r="F326" s="10" t="str">
        <x:v>Add payroll/time export</x:v>
      </x:c>
      <x:c r="G326" s="10" t="str">
        <x:v>Authorized, approved period exports stable worker/shift/rate/cost identifiers and adjustments; reruns are versioned and reconcile totals.</x:v>
      </x:c>
      <x:c r="H326" s="10" t="str">
        <x:v>ADM-WF-008</x:v>
      </x:c>
      <x:c r="I326" s="10" t="str"/>
      <x:c r="J326" s="10" t="str">
        <x:v>Historical feature-spec progress ledger: done — live-work-phase6.ts (combined)</x:v>
      </x:c>
    </x:row>
    <x:row r="327" ht="42" customHeight="1">
      <x:c r="A327" s="10" t="str">
        <x:v>WORK-603</x:v>
      </x:c>
      <x:c r="B327" s="11" t="n">
        <x:v>326</x:v>
      </x:c>
      <x:c r="C327" s="11" t="n">
        <x:v>6</x:v>
      </x:c>
      <x:c r="D327" s="10" t="str">
        <x:v>06</x:v>
      </x:c>
      <x:c r="E327" s="10" t="str">
        <x:v>observed</x:v>
      </x:c>
      <x:c r="F327" s="10" t="str">
        <x:v>Workforce SLO/alerts</x:v>
      </x:c>
      <x:c r="G327" s="10" t="str">
        <x:v>Monitor uncovered critical roles, expiring credentials, overdue responses/onboarding, notification failure, conflict backlog, and identity sync failure.</x:v>
      </x:c>
      <x:c r="H327" s="10" t="str">
        <x:v>ADM-WF-008</x:v>
      </x:c>
      <x:c r="I327" s="10" t="str"/>
      <x:c r="J327" s="10" t="str">
        <x:v>Historical feature-spec progress ledger: done — live-work-phase6.ts (combined)</x:v>
      </x:c>
    </x:row>
    <x:row r="328" ht="42" customHeight="1">
      <x:c r="A328" s="10" t="str">
        <x:v>WORK-604</x:v>
      </x:c>
      <x:c r="B328" s="11" t="n">
        <x:v>327</x:v>
      </x:c>
      <x:c r="C328" s="11" t="n">
        <x:v>6</x:v>
      </x:c>
      <x:c r="D328" s="10" t="str">
        <x:v>06</x:v>
      </x:c>
      <x:c r="E328" s="10" t="str">
        <x:v>observed</x:v>
      </x:c>
      <x:c r="F328" s="10" t="str">
        <x:v>Complete migration and retire duplicates</x:v>
      </x:c>
      <x:c r="G328" s="10" t="str">
        <x:v>Canonical assignments reconcile to legacy counts/references; old writes stop; compatibility views then code/tables are retired by approved retention plan.</x:v>
      </x:c>
      <x:c r="H328" s="10" t="str">
        <x:v>ADM-WF-008</x:v>
      </x:c>
      <x:c r="I328" s="10" t="str"/>
      <x:c r="J328" s="10" t="str">
        <x:v>Historical feature-spec progress ledger: done — live-work-phase6.ts (combined)</x:v>
      </x:c>
    </x:row>
    <x:row r="329" ht="42" customHeight="1">
      <x:c r="A329" s="10" t="str">
        <x:v>TRAVEL-601</x:v>
      </x:c>
      <x:c r="B329" s="11" t="n">
        <x:v>328</x:v>
      </x:c>
      <x:c r="C329" s="11" t="n">
        <x:v>6</x:v>
      </x:c>
      <x:c r="D329" s="10" t="str">
        <x:v>07</x:v>
      </x:c>
      <x:c r="E329" s="10" t="str">
        <x:v>observed</x:v>
      </x:c>
      <x:c r="F329" s="10" t="str">
        <x:v>Add logistics SLO/alerts</x:v>
      </x:c>
      <x:c r="G329" s="10" t="str">
        <x:v>Missing next-72-hour segments/rooms, capacity conflicts, stale confirmations, delay impacts, import failures, and notification failure are monitored.</x:v>
      </x:c>
      <x:c r="H329" s="10" t="str">
        <x:v>ADM-WF-013</x:v>
      </x:c>
      <x:c r="I329" s="10" t="str"/>
      <x:c r="J329" s="10" t="str">
        <x:v>Historical feature-spec progress ledger: done — travel-log-phase6.ts + 26 tests</x:v>
      </x:c>
    </x:row>
    <x:row r="330" ht="42" customHeight="1">
      <x:c r="A330" s="10" t="str">
        <x:v>TRAVEL-602</x:v>
      </x:c>
      <x:c r="B330" s="11" t="n">
        <x:v>329</x:v>
      </x:c>
      <x:c r="C330" s="11" t="n">
        <x:v>6</x:v>
      </x:c>
      <x:c r="D330" s="10" t="str">
        <x:v>07</x:v>
      </x:c>
      <x:c r="E330" s="10" t="str">
        <x:v>observed</x:v>
      </x:c>
      <x:c r="F330" s="10" t="str">
        <x:v>Complete migration/reconciliation</x:v>
      </x:c>
      <x:c r="G330" s="10" t="str">
        <x:v>Legacy groups/flights/lodging records reconcile to canonical parent/child counts; unscoped data is resolved; old writes/policies are retired.</x:v>
      </x:c>
      <x:c r="H330" s="10" t="str">
        <x:v>ADM-WF-013</x:v>
      </x:c>
      <x:c r="I330" s="10" t="str"/>
      <x:c r="J330" s="10" t="str">
        <x:v>Historical feature-spec progress ledger: done — travel-log-phase6.ts (combined)</x:v>
      </x:c>
    </x:row>
    <x:row r="331" ht="42" customHeight="1">
      <x:c r="A331" s="10" t="str">
        <x:v>LOG-601</x:v>
      </x:c>
      <x:c r="B331" s="11" t="n">
        <x:v>330</x:v>
      </x:c>
      <x:c r="C331" s="11" t="n">
        <x:v>6</x:v>
      </x:c>
      <x:c r="D331" s="10" t="str">
        <x:v>08</x:v>
      </x:c>
      <x:c r="E331" s="10" t="str">
        <x:v>observed</x:v>
      </x:c>
      <x:c r="F331" s="10" t="str">
        <x:v>Replace weak logistics metrics</x:v>
      </x:c>
      <x:c r="G331" s="10" t="str">
        <x:v>Metrics have definitions and show unresolved critical tasks, late/blocked work, manifest completeness, scan exceptions, meal/room/equipment capacity, and freshness.</x:v>
      </x:c>
      <x:c r="H331" s="10" t="str">
        <x:v>ADM-WF-013</x:v>
      </x:c>
      <x:c r="I331" s="10" t="str"/>
      <x:c r="J331" s="10" t="str">
        <x:v>Historical feature-spec progress ledger: done — travel-log-phase6.ts (combined)</x:v>
      </x:c>
    </x:row>
    <x:row r="332" ht="42" customHeight="1">
      <x:c r="A332" s="10" t="str">
        <x:v>LOG-602</x:v>
      </x:c>
      <x:c r="B332" s="11" t="n">
        <x:v>331</x:v>
      </x:c>
      <x:c r="C332" s="11" t="n">
        <x:v>6</x:v>
      </x:c>
      <x:c r="D332" s="10" t="str">
        <x:v>08</x:v>
      </x:c>
      <x:c r="E332" s="10" t="str">
        <x:v>observed</x:v>
      </x:c>
      <x:c r="F332" s="10" t="str">
        <x:v>Add operational alerts</x:v>
      </x:c>
      <x:c r="G332" s="10" t="str">
        <x:v>Upcoming missing/late equipment, unreturned rentals, meal headcount deadline, unresolved map approval, and failed publication notify responsible owner.</x:v>
      </x:c>
      <x:c r="H332" s="10" t="str">
        <x:v>ADM-WF-013</x:v>
      </x:c>
      <x:c r="I332" s="10" t="str"/>
      <x:c r="J332" s="10" t="str">
        <x:v>Historical feature-spec progress ledger: done — travel-log-phase6.ts (combined)</x:v>
      </x:c>
    </x:row>
    <x:row r="333" ht="42" customHeight="1">
      <x:c r="A333" s="10" t="str">
        <x:v>LOG-603</x:v>
      </x:c>
      <x:c r="B333" s="11" t="n">
        <x:v>332</x:v>
      </x:c>
      <x:c r="C333" s="11" t="n">
        <x:v>6</x:v>
      </x:c>
      <x:c r="D333" s="10" t="str">
        <x:v>08</x:v>
      </x:c>
      <x:c r="E333" s="10" t="str">
        <x:v>observed</x:v>
      </x:c>
      <x:c r="F333" s="10" t="str">
        <x:v>Complete migration/retirement</x:v>
      </x:c>
      <x:c r="G333" s="10" t="str">
        <x:v>Generic task records that represented domain facts are linked/migrated without history loss; duplicate categories and old writes are retired.</x:v>
      </x:c>
      <x:c r="H333" s="10" t="str">
        <x:v>ADM-WF-013</x:v>
      </x:c>
      <x:c r="I333" s="10" t="str"/>
      <x:c r="J333" s="10" t="str">
        <x:v>Historical feature-spec progress ledger: done — travel-log-phase6.ts (combined)</x:v>
      </x:c>
    </x:row>
    <x:row r="334" ht="42" customHeight="1">
      <x:c r="A334" s="10" t="str">
        <x:v>TIX-601</x:v>
      </x:c>
      <x:c r="B334" s="11" t="n">
        <x:v>333</x:v>
      </x:c>
      <x:c r="C334" s="11" t="n">
        <x:v>6</x:v>
      </x:c>
      <x:c r="D334" s="10" t="str">
        <x:v>09</x:v>
      </x:c>
      <x:c r="E334" s="10" t="str">
        <x:v>observed</x:v>
      </x:c>
      <x:c r="F334" s="10" t="str">
        <x:v>Migrate/reconcile legacy data</x:v>
      </x:c>
      <x:c r="G334" s="10" t="str">
        <x:v>Per event/org counts and financial totals match approved tolerances; unresolved records are reviewed; legacy writes stop by feature flag.</x:v>
      </x:c>
      <x:c r="H334" s="10" t="str">
        <x:v>ADM-WF-019</x:v>
      </x:c>
      <x:c r="I334" s="10" t="str"/>
      <x:c r="J334" s="10" t="str">
        <x:v>Historical feature-spec progress ledger: done — tix-phase6.ts + 23 tests</x:v>
      </x:c>
    </x:row>
    <x:row r="335" ht="42" customHeight="1">
      <x:c r="A335" s="10" t="str">
        <x:v>TIX-602</x:v>
      </x:c>
      <x:c r="B335" s="11" t="n">
        <x:v>334</x:v>
      </x:c>
      <x:c r="C335" s="11" t="n">
        <x:v>6</x:v>
      </x:c>
      <x:c r="D335" s="10" t="str">
        <x:v>09</x:v>
      </x:c>
      <x:c r="E335" s="10" t="str">
        <x:v>observed</x:v>
      </x:c>
      <x:c r="F335" s="10" t="str">
        <x:v>Ticketing security/load review</x:v>
      </x:c>
      <x:c r="G335" s="10" t="str">
        <x:v>Tests cover oversell races, IDOR, promo abuse, scanner forgery/replay, offline duplication, refund privilege, webhook attack, and high-volume scan/sale load.</x:v>
      </x:c>
      <x:c r="H335" s="10" t="str">
        <x:v>ADM-WF-019</x:v>
      </x:c>
      <x:c r="I335" s="10" t="str"/>
      <x:c r="J335" s="10" t="str">
        <x:v>Historical feature-spec progress ledger: done — tix-phase6.ts (combined)</x:v>
      </x:c>
    </x:row>
    <x:row r="336" ht="42" customHeight="1">
      <x:c r="A336" s="10" t="str">
        <x:v>TIX-603</x:v>
      </x:c>
      <x:c r="B336" s="11" t="n">
        <x:v>335</x:v>
      </x:c>
      <x:c r="C336" s="11" t="n">
        <x:v>6</x:v>
      </x:c>
      <x:c r="D336" s="10" t="str">
        <x:v>09</x:v>
      </x:c>
      <x:c r="E336" s="10" t="str">
        <x:v>observed</x:v>
      </x:c>
      <x:c r="F336" s="10" t="str">
        <x:v>Retire old routes/tables/policies</x:v>
      </x:c>
      <x:c r="G336" s="10" t="str">
        <x:v>Usage is zero, historical reads are preserved as approved, permissive policies are absent, and Admin UI/jobs/reports use canonical model only.</x:v>
      </x:c>
      <x:c r="H336" s="10" t="str">
        <x:v>ADM-WF-019</x:v>
      </x:c>
      <x:c r="I336" s="10" t="str"/>
      <x:c r="J336" s="10" t="str">
        <x:v>Historical feature-spec progress ledger: done — tix-phase6.ts (combined)</x:v>
      </x:c>
    </x:row>
    <x:row r="337" ht="42" customHeight="1">
      <x:c r="A337" s="10" t="str">
        <x:v>FIN-601</x:v>
      </x:c>
      <x:c r="B337" s="11" t="n">
        <x:v>336</x:v>
      </x:c>
      <x:c r="C337" s="11" t="n">
        <x:v>6</x:v>
      </x:c>
      <x:c r="D337" s="10" t="str">
        <x:v>10</x:v>
      </x:c>
      <x:c r="E337" s="10" t="str">
        <x:v>observed</x:v>
      </x:c>
      <x:c r="F337" s="10" t="str">
        <x:v>Create reconciliation jobs/dashboard</x:v>
      </x:c>
      <x:c r="G337" s="10" t="str">
        <x:v>Compare source totals to finance entries by type/date/currency/event/provider; mismatches have owner/status/evidence and never silently adjust.</x:v>
      </x:c>
      <x:c r="H337" s="10" t="str">
        <x:v>ADM-WF-014</x:v>
      </x:c>
      <x:c r="I337" s="10" t="str"/>
      <x:c r="J337" s="10" t="str">
        <x:v>Historical feature-spec progress ledger: done — commercial-phase6.ts + 29 tests</x:v>
      </x:c>
    </x:row>
    <x:row r="338" ht="42" customHeight="1">
      <x:c r="A338" s="10" t="str">
        <x:v>FIN-602</x:v>
      </x:c>
      <x:c r="B338" s="11" t="n">
        <x:v>337</x:v>
      </x:c>
      <x:c r="C338" s="11" t="n">
        <x:v>6</x:v>
      </x:c>
      <x:c r="D338" s="10" t="str">
        <x:v>10</x:v>
      </x:c>
      <x:c r="E338" s="10" t="str">
        <x:v>observed</x:v>
      </x:c>
      <x:c r="F338" s="10" t="str">
        <x:v>Add accounting export adapter</x:v>
      </x:c>
      <x:c r="G338" s="10" t="str">
        <x:v>Versioned export maps stable accounts/vendors/projects/taxes/currencies and records external reference/status; retry does not duplicate.</x:v>
      </x:c>
      <x:c r="H338" s="10" t="str">
        <x:v>ADM-WF-014</x:v>
      </x:c>
      <x:c r="I338" s="10" t="str"/>
      <x:c r="J338" s="10" t="str">
        <x:v>Historical feature-spec progress ledger: done — commercial-phase6.ts (combined)</x:v>
      </x:c>
    </x:row>
    <x:row r="339" ht="42" customHeight="1">
      <x:c r="A339" s="10" t="str">
        <x:v>FIN-603</x:v>
      </x:c>
      <x:c r="B339" s="11" t="n">
        <x:v>338</x:v>
      </x:c>
      <x:c r="C339" s="11" t="n">
        <x:v>6</x:v>
      </x:c>
      <x:c r="D339" s="10" t="str">
        <x:v>10</x:v>
      </x:c>
      <x:c r="E339" s="10" t="str">
        <x:v>observed</x:v>
      </x:c>
      <x:c r="F339" s="10" t="str">
        <x:v>Finance observability</x:v>
      </x:c>
      <x:c r="G339" s="10" t="str">
        <x:v>Alert on unauthorized attempts, failed postings/exports, stale FX, approval backlog, unmatched invoices, overdue cash, unsettled completed shows, and reconciliation variance.</x:v>
      </x:c>
      <x:c r="H339" s="10" t="str">
        <x:v>ADM-WF-014</x:v>
      </x:c>
      <x:c r="I339" s="10" t="str"/>
      <x:c r="J339" s="10" t="str">
        <x:v>Historical feature-spec progress ledger: done — commercial-phase6.ts (combined)</x:v>
      </x:c>
    </x:row>
    <x:row r="340" ht="42" customHeight="1">
      <x:c r="A340" s="10" t="str">
        <x:v>FIN-604</x:v>
      </x:c>
      <x:c r="B340" s="11" t="n">
        <x:v>339</x:v>
      </x:c>
      <x:c r="C340" s="11" t="n">
        <x:v>6</x:v>
      </x:c>
      <x:c r="D340" s="10" t="str">
        <x:v>10</x:v>
      </x:c>
      <x:c r="E340" s="10" t="str">
        <x:v>observed</x:v>
      </x:c>
      <x:c r="F340" s="10" t="str">
        <x:v>Migrate/retire legacy finance paths</x:v>
      </x:c>
      <x:c r="G340" s="10" t="str">
        <x:v>Row/total/currency reconciliation passes; old writes/policies/raw-ID UX are removed; retention and historical access are approved.</x:v>
      </x:c>
      <x:c r="H340" s="10" t="str">
        <x:v>ADM-WF-014</x:v>
      </x:c>
      <x:c r="I340" s="10" t="str"/>
      <x:c r="J340" s="10" t="str">
        <x:v>Historical feature-spec progress ledger: done — commercial-phase6.ts (combined)</x:v>
      </x:c>
    </x:row>
    <x:row r="341" ht="42" customHeight="1">
      <x:c r="A341" s="10" t="str">
        <x:v>VEND-601</x:v>
      </x:c>
      <x:c r="B341" s="11" t="n">
        <x:v>340</x:v>
      </x:c>
      <x:c r="C341" s="11" t="n">
        <x:v>6</x:v>
      </x:c>
      <x:c r="D341" s="10" t="str">
        <x:v>11</x:v>
      </x:c>
      <x:c r="E341" s="10" t="str">
        <x:v>observed</x:v>
      </x:c>
      <x:c r="F341" s="10" t="str">
        <x:v>Vendor/contract observability</x:v>
      </x:c>
      <x:c r="G341" s="10" t="str">
        <x:v>Alerts cover expiring compliance/contracts, unanswered RFP, expired quotes, stalled approvals/signatures, overdue obligations, delivery/invoice variance, and provider failure.</x:v>
      </x:c>
      <x:c r="H341" s="10" t="str">
        <x:v>ADM-WF-015</x:v>
      </x:c>
      <x:c r="I341" s="10" t="str"/>
      <x:c r="J341" s="10" t="str">
        <x:v>Historical feature-spec progress ledger: done — commercial-phase6.ts (combined)</x:v>
      </x:c>
    </x:row>
    <x:row r="342" ht="42" customHeight="1">
      <x:c r="A342" s="10" t="str">
        <x:v>CONT-601</x:v>
      </x:c>
      <x:c r="B342" s="11" t="n">
        <x:v>341</x:v>
      </x:c>
      <x:c r="C342" s="11" t="n">
        <x:v>6</x:v>
      </x:c>
      <x:c r="D342" s="10" t="str">
        <x:v>11</x:v>
      </x:c>
      <x:c r="E342" s="10" t="str">
        <x:v>observed</x:v>
      </x:c>
      <x:c r="F342" s="10" t="str">
        <x:v>Document security review</x:v>
      </x:c>
      <x:c r="G342" s="10" t="str">
        <x:v>Tests cover cross-org file IDs, signed URL expiry, malware/type spoof, token/provider webhook, redaction/projection, deleted member, and retention/legal hold.</x:v>
      </x:c>
      <x:c r="H342" s="10" t="str">
        <x:v>ADM-WF-015</x:v>
      </x:c>
      <x:c r="I342" s="10" t="str"/>
      <x:c r="J342" s="10" t="str">
        <x:v>Historical feature-spec progress ledger: done — commercial-phase6.ts (combined)</x:v>
      </x:c>
    </x:row>
    <x:row r="343" ht="42" customHeight="1">
      <x:c r="A343" s="10" t="str">
        <x:v>CONT-602</x:v>
      </x:c>
      <x:c r="B343" s="11" t="n">
        <x:v>342</x:v>
      </x:c>
      <x:c r="C343" s="11" t="n">
        <x:v>6</x:v>
      </x:c>
      <x:c r="D343" s="10" t="str">
        <x:v>11</x:v>
      </x:c>
      <x:c r="E343" s="10" t="str">
        <x:v>observed</x:v>
      </x:c>
      <x:c r="F343" s="10" t="str">
        <x:v>Migration and contract-shell cutover</x:v>
      </x:c>
      <x:c r="G343" s="10" t="str">
        <x:v>Existing vendor/contract-like records map or remain explicitly legacy; Admin contracts route uses canonical workspace; no placeholder or orphan write remains.</x:v>
      </x:c>
      <x:c r="H343" s="10" t="str">
        <x:v>ADM-WF-015</x:v>
      </x:c>
      <x:c r="I343" s="10" t="str"/>
      <x:c r="J343" s="10" t="str">
        <x:v>Historical feature-spec progress ledger: done — commercial-phase6.ts (combined)</x:v>
      </x:c>
    </x:row>
    <x:row r="344" ht="42" customHeight="1">
      <x:c r="A344" s="10" t="str">
        <x:v>CAL-601</x:v>
      </x:c>
      <x:c r="B344" s="11" t="n">
        <x:v>343</x:v>
      </x:c>
      <x:c r="C344" s="11" t="n">
        <x:v>6</x:v>
      </x:c>
      <x:c r="D344" s="10" t="str">
        <x:v>12</x:v>
      </x:c>
      <x:c r="E344" s="10" t="str">
        <x:v>observed</x:v>
      </x:c>
      <x:c r="F344" s="10" t="str">
        <x:v>Add calendar freshness/SLO monitoring</x:v>
      </x:c>
      <x:c r="G344" s="10" t="str">
        <x:v>Per-source lag/error, query latency, feed token failure, invalid time zone and sync/client errors are measured and alerted.</x:v>
      </x:c>
      <x:c r="H344" s="10" t="str">
        <x:v>ADM-WF-005; ADM-WF-016</x:v>
      </x:c>
      <x:c r="I344" s="10" t="str"/>
      <x:c r="J344" s="10" t="str">
        <x:v>Historical feature-spec progress ledger: done — comms-sec-phase6.ts + 32 tests</x:v>
      </x:c>
    </x:row>
    <x:row r="345" ht="42" customHeight="1">
      <x:c r="A345" s="10" t="str">
        <x:v>COMMS-601</x:v>
      </x:c>
      <x:c r="B345" s="11" t="n">
        <x:v>344</x:v>
      </x:c>
      <x:c r="C345" s="11" t="n">
        <x:v>6</x:v>
      </x:c>
      <x:c r="D345" s="10" t="str">
        <x:v>12</x:v>
      </x:c>
      <x:c r="E345" s="10" t="str">
        <x:v>observed</x:v>
      </x:c>
      <x:c r="F345" s="10" t="str">
        <x:v>Add delivery observability</x:v>
      </x:c>
      <x:c r="G345" s="10" t="str">
        <x:v>Queue age, provider failure, suppression/consent, duplicate prevention, open/ack rates, escalation backlog and dead letters are actionable.</x:v>
      </x:c>
      <x:c r="H345" s="10" t="str">
        <x:v>ADM-WF-011; ADM-WF-012</x:v>
      </x:c>
      <x:c r="I345" s="10" t="str"/>
      <x:c r="J345" s="10" t="str">
        <x:v>Historical feature-spec progress ledger: done — comms-sec-phase6.ts (combined)</x:v>
      </x:c>
    </x:row>
    <x:row r="346" ht="42" customHeight="1">
      <x:c r="A346" s="10" t="str">
        <x:v>COMMS-602</x:v>
      </x:c>
      <x:c r="B346" s="11" t="n">
        <x:v>345</x:v>
      </x:c>
      <x:c r="C346" s="11" t="n">
        <x:v>6</x:v>
      </x:c>
      <x:c r="D346" s="10" t="str">
        <x:v>12</x:v>
      </x:c>
      <x:c r="E346" s="10" t="str">
        <x:v>observed</x:v>
      </x:c>
      <x:c r="F346" s="10" t="str">
        <x:v>Test notification fatigue rules</x:v>
      </x:c>
      <x:c r="G346" s="10" t="str">
        <x:v>Burst/digest/dedupe/quiet-hour/escalation tests prove critical messages arrive without repeated low-value notifications.</x:v>
      </x:c>
      <x:c r="H346" s="10" t="str">
        <x:v>ADM-WF-011; ADM-WF-012</x:v>
      </x:c>
      <x:c r="I346" s="10" t="str"/>
      <x:c r="J346" s="10" t="str">
        <x:v>Historical feature-spec progress ledger: done — comms-sec-phase6.ts (combined)</x:v>
      </x:c>
    </x:row>
    <x:row r="347" ht="42" customHeight="1">
      <x:c r="A347" s="10" t="str">
        <x:v>COMMS-603</x:v>
      </x:c>
      <x:c r="B347" s="11" t="n">
        <x:v>346</x:v>
      </x:c>
      <x:c r="C347" s="11" t="n">
        <x:v>6</x:v>
      </x:c>
      <x:c r="D347" s="10" t="str">
        <x:v>12</x:v>
      </x:c>
      <x:c r="E347" s="10" t="str">
        <x:v>observed</x:v>
      </x:c>
      <x:c r="F347" s="10" t="str">
        <x:v>Retire duplicate delivery paths</x:v>
      </x:c>
      <x:c r="G347" s="10" t="str">
        <x:v>Work Mode, inbox, event groups and domain notifications use canonical audience/delivery status; legacy fire-and-forget writes are removed.</x:v>
      </x:c>
      <x:c r="H347" s="10" t="str">
        <x:v>ADM-WF-011; ADM-WF-012</x:v>
      </x:c>
      <x:c r="I347" s="10" t="str"/>
      <x:c r="J347" s="10" t="str">
        <x:v>Historical feature-spec progress ledger: done — comms-sec-phase6.ts (combined)</x:v>
      </x:c>
    </x:row>
    <x:row r="348" ht="42" customHeight="1">
      <x:c r="A348" s="10" t="str">
        <x:v>SEC-601</x:v>
      </x:c>
      <x:c r="B348" s="11" t="n">
        <x:v>347</x:v>
      </x:c>
      <x:c r="C348" s="11" t="n">
        <x:v>6</x:v>
      </x:c>
      <x:c r="D348" s="10" t="str">
        <x:v>01</x:v>
      </x:c>
      <x:c r="E348" s="10" t="str">
        <x:v>observed</x:v>
      </x:c>
      <x:c r="F348" s="10" t="str">
        <x:v>Automated RLS matrix in CI</x:v>
      </x:c>
      <x:c r="G348" s="10" t="str">
        <x:v>Direct authenticated database clients prove cross-org denial for every table/action and valid access for each intended relationship.</x:v>
      </x:c>
      <x:c r="H348" s="10" t="str">
        <x:v>ADM-WF-001; ADM-WF-002</x:v>
      </x:c>
      <x:c r="I348" s="10" t="str"/>
      <x:c r="J348" s="10" t="str">
        <x:v>Historical feature-spec progress ledger: done — comms-sec-phase6.ts (combined)</x:v>
      </x:c>
    </x:row>
    <x:row r="349" ht="42" customHeight="1">
      <x:c r="A349" s="10" t="str">
        <x:v>SEC-602</x:v>
      </x:c>
      <x:c r="B349" s="11" t="n">
        <x:v>348</x:v>
      </x:c>
      <x:c r="C349" s="11" t="n">
        <x:v>6</x:v>
      </x:c>
      <x:c r="D349" s="10" t="str">
        <x:v>01</x:v>
      </x:c>
      <x:c r="E349" s="10" t="str">
        <x:v>observed</x:v>
      </x:c>
      <x:c r="F349" s="10" t="str">
        <x:v>Authorization observability</x:v>
      </x:c>
      <x:c r="G349" s="10" t="str">
        <x:v>Metrics and alerts cover denied spikes, context mismatches, service-role usage, policy errors, and audit-write failures without logging secrets/PII.</x:v>
      </x:c>
      <x:c r="H349" s="10" t="str">
        <x:v>ADM-WF-001; ADM-WF-002</x:v>
      </x:c>
      <x:c r="I349" s="10" t="str"/>
      <x:c r="J349" s="10" t="str">
        <x:v>Historical feature-spec progress ledger: done — comms-sec-phase6.ts (combined)</x:v>
      </x:c>
    </x:row>
    <x:row r="350" ht="42" customHeight="1">
      <x:c r="A350" s="10" t="str">
        <x:v>SEC-603</x:v>
      </x:c>
      <x:c r="B350" s="11" t="n">
        <x:v>349</x:v>
      </x:c>
      <x:c r="C350" s="11" t="n">
        <x:v>6</x:v>
      </x:c>
      <x:c r="D350" s="10" t="str">
        <x:v>01</x:v>
      </x:c>
      <x:c r="E350" s="10" t="str">
        <x:v>observed</x:v>
      </x:c>
      <x:c r="F350" s="10" t="str">
        <x:v>Security review and penetration test</x:v>
      </x:c>
      <x:c r="G350" s="10" t="str">
        <x:v>Independent review covers IDOR, privilege escalation, token leakage, bulk/export bypass, race conditions, webhook replay, and stored-file access; critical/high items are closed.</x:v>
      </x:c>
      <x:c r="H350" s="10" t="str">
        <x:v>ADM-WF-001; ADM-WF-002</x:v>
      </x:c>
      <x:c r="I350" s="10" t="str"/>
      <x:c r="J350" s="10" t="str">
        <x:v>Historical feature-spec progress ledger: done — comms-sec-phase6.ts (combined)</x:v>
      </x:c>
    </x:row>
    <x:row r="351" ht="42" customHeight="1">
      <x:c r="A351" s="10" t="str">
        <x:v>SEC-604</x:v>
      </x:c>
      <x:c r="B351" s="11" t="n">
        <x:v>350</x:v>
      </x:c>
      <x:c r="C351" s="11" t="n">
        <x:v>6</x:v>
      </x:c>
      <x:c r="D351" s="10" t="str">
        <x:v>01</x:v>
      </x:c>
      <x:c r="E351" s="10" t="str">
        <x:v>observed</x:v>
      </x:c>
      <x:c r="F351" s="10" t="str">
        <x:v>Access review workflow</x:v>
      </x:c>
      <x:c r="G351" s="10" t="str">
        <x:v>Organization owners can review members, roles, entity grants, external shares, and recent privileged actions; revoked access takes effect immediately.</x:v>
      </x:c>
      <x:c r="H351" s="10" t="str">
        <x:v>ADM-WF-001; ADM-WF-002</x:v>
      </x:c>
      <x:c r="I351" s="10" t="str"/>
      <x:c r="J351" s="10" t="str">
        <x:v>Historical feature-spec progress ledger: done — comms-sec-phase6.ts (combined)</x:v>
      </x:c>
    </x:row>
    <x:row r="352" ht="42" customHeight="1">
      <x:c r="A352" s="10" t="str">
        <x:v>SEC-605</x:v>
      </x:c>
      <x:c r="B352" s="11" t="n">
        <x:v>351</x:v>
      </x:c>
      <x:c r="C352" s="11" t="n">
        <x:v>6</x:v>
      </x:c>
      <x:c r="D352" s="10" t="str">
        <x:v>01</x:v>
      </x:c>
      <x:c r="E352" s="10" t="str">
        <x:v>observed</x:v>
      </x:c>
      <x:c r="F352" s="10" t="str">
        <x:v>Data-retention controls</x:v>
      </x:c>
      <x:c r="G352" s="10" t="str">
        <x:v>Retention/deletion policies are implemented and tested for audit, finance, tickets, contracts, personnel, incidents, and uploaded documents.</x:v>
      </x:c>
      <x:c r="H352" s="10" t="str">
        <x:v>ADM-WF-001; ADM-WF-002</x:v>
      </x:c>
      <x:c r="I352" s="10" t="str"/>
      <x:c r="J352" s="10" t="str">
        <x:v>Historical feature-spec progress ledger: done — comms-sec-phase6.ts (combined)</x:v>
      </x:c>
    </x:row>
    <x:row r="353" ht="42" customHeight="1">
      <x:c r="A353" s="10" t="str">
        <x:v>REL-601</x:v>
      </x:c>
      <x:c r="B353" s="11" t="n">
        <x:v>352</x:v>
      </x:c>
      <x:c r="C353" s="11" t="n">
        <x:v>6</x:v>
      </x:c>
      <x:c r="D353" s="10" t="str">
        <x:v>14</x:v>
      </x:c>
      <x:c r="E353" s="10" t="str">
        <x:v>observed</x:v>
      </x:c>
      <x:c r="F353" s="10" t="str">
        <x:v>Set performance budgets</x:v>
      </x:c>
      <x:c r="G353" s="10" t="str">
        <x:v>Representative datasets establish API p50/p95, database query count/time, page LCP/INP/CLS, JS/bundle, memory, export and job queue targets; CI/staging detect regression.</x:v>
      </x:c>
      <x:c r="H353" s="10" t="str">
        <x:v>ADM-WF-017</x:v>
      </x:c>
      <x:c r="I353" s="10" t="str"/>
      <x:c r="J353" s="10" t="str">
        <x:v>Historical feature-spec progress ledger: done — rel-phase6.ts + 31 tests</x:v>
      </x:c>
    </x:row>
    <x:row r="354" ht="42" customHeight="1">
      <x:c r="A354" s="10" t="str">
        <x:v>REL-602</x:v>
      </x:c>
      <x:c r="B354" s="11" t="n">
        <x:v>353</x:v>
      </x:c>
      <x:c r="C354" s="11" t="n">
        <x:v>6</x:v>
      </x:c>
      <x:c r="D354" s="10" t="str">
        <x:v>14</x:v>
      </x:c>
      <x:c r="E354" s="10" t="str">
        <x:v>observed</x:v>
      </x:c>
      <x:c r="F354" s="10" t="str">
        <x:v>Refactor high-fanout pages</x:v>
      </x:c>
      <x:c r="G354" s="10" t="str">
        <x:v>Tour/event/logistics pages use BFF/read models, smaller bundles and typed degraded states; request count and load metrics meet budgets.</x:v>
      </x:c>
      <x:c r="H354" s="10" t="str">
        <x:v>ADM-WF-017</x:v>
      </x:c>
      <x:c r="I354" s="10" t="str"/>
      <x:c r="J354" s="10" t="str">
        <x:v>Historical feature-spec progress ledger: done — rel-phase6.ts (combined)</x:v>
      </x:c>
    </x:row>
    <x:row r="355" ht="42" customHeight="1">
      <x:c r="A355" s="10" t="str">
        <x:v>REL-603</x:v>
      </x:c>
      <x:c r="B355" s="11" t="n">
        <x:v>354</x:v>
      </x:c>
      <x:c r="C355" s="11" t="n">
        <x:v>6</x:v>
      </x:c>
      <x:c r="D355" s="10" t="str">
        <x:v>14</x:v>
      </x:c>
      <x:c r="E355" s="10" t="str">
        <x:v>observed</x:v>
      </x:c>
      <x:c r="F355" s="10" t="str">
        <x:v>Complete WCAG 2.2 AA review</x:v>
      </x:c>
      <x:c r="G355" s="10" t="str">
        <x:v>Automated and manual keyboard/screen-reader/focus/contrast/zoom/error/table/dialog/mobile checks pass critical Admin/worker/external flows.</x:v>
      </x:c>
      <x:c r="H355" s="10" t="str">
        <x:v>ADM-WF-017</x:v>
      </x:c>
      <x:c r="I355" s="10" t="str"/>
      <x:c r="J355" s="10" t="str">
        <x:v>Historical feature-spec progress ledger: done — rel-phase6.ts (combined)</x:v>
      </x:c>
    </x:row>
    <x:row r="356" ht="42" customHeight="1">
      <x:c r="A356" s="10" t="str">
        <x:v>REL-604</x:v>
      </x:c>
      <x:c r="B356" s="11" t="n">
        <x:v>355</x:v>
      </x:c>
      <x:c r="C356" s="11" t="n">
        <x:v>6</x:v>
      </x:c>
      <x:c r="D356" s="10" t="str">
        <x:v>14</x:v>
      </x:c>
      <x:c r="E356" s="10" t="str">
        <x:v>observed</x:v>
      </x:c>
      <x:c r="F356" s="10" t="str">
        <x:v>Create production dashboards/alerts</x:v>
      </x:c>
      <x:c r="G356" s="10" t="str">
        <x:v>Platform and domain SLOs, alerts, owners and links to runbooks are live before pilot writes begin.</x:v>
      </x:c>
      <x:c r="H356" s="10" t="str">
        <x:v>ADM-WF-017</x:v>
      </x:c>
      <x:c r="I356" s="10" t="str"/>
      <x:c r="J356" s="10" t="str">
        <x:v>Historical feature-spec progress ledger: done — rel-phase6.ts (combined)</x:v>
      </x:c>
    </x:row>
    <x:row r="357" ht="42" customHeight="1">
      <x:c r="A357" s="10" t="str">
        <x:v>REL-605</x:v>
      </x:c>
      <x:c r="B357" s="11" t="n">
        <x:v>356</x:v>
      </x:c>
      <x:c r="C357" s="11" t="n">
        <x:v>6</x:v>
      </x:c>
      <x:c r="D357" s="10" t="str">
        <x:v>14</x:v>
      </x:c>
      <x:c r="E357" s="10" t="str">
        <x:v>observed</x:v>
      </x:c>
      <x:c r="F357" s="10" t="str">
        <x:v>Exercise backup/restore</x:v>
      </x:c>
      <x:c r="G357" s="10" t="str">
        <x:v>Database/storage/config restoration to isolated environment meets RPO/RTO target and verifies relational/file/publication consistency.</x:v>
      </x:c>
      <x:c r="H357" s="10" t="str">
        <x:v>ADM-WF-017</x:v>
      </x:c>
      <x:c r="I357" s="10" t="str"/>
      <x:c r="J357" s="10" t="str">
        <x:v>Historical feature-spec progress ledger: done — rel-phase6.ts (combined)</x:v>
      </x:c>
    </x:row>
    <x:row r="358" ht="42" customHeight="1">
      <x:c r="A358" s="10" t="str">
        <x:v>REL-606</x:v>
      </x:c>
      <x:c r="B358" s="11" t="n">
        <x:v>357</x:v>
      </x:c>
      <x:c r="C358" s="11" t="n">
        <x:v>6</x:v>
      </x:c>
      <x:c r="D358" s="10" t="str">
        <x:v>14</x:v>
      </x:c>
      <x:c r="E358" s="10" t="str">
        <x:v>observed</x:v>
      </x:c>
      <x:c r="F358" s="10" t="str">
        <x:v>Exercise migration rollback/forward-fix</x:v>
      </x:c>
      <x:c r="G358" s="10" t="str">
        <x:v>Representative tenant migration and failure are rehearsed; recovery maintains tenant isolation and no lost/duplicate side effects.</x:v>
      </x:c>
      <x:c r="H358" s="10" t="str">
        <x:v>ADM-WF-017</x:v>
      </x:c>
      <x:c r="I358" s="10" t="str"/>
      <x:c r="J358" s="10" t="str">
        <x:v>Historical feature-spec progress ledger: done — rel-phase6.ts (combined)</x:v>
      </x:c>
    </x:row>
    <x:row r="359" ht="42" customHeight="1">
      <x:c r="A359" s="10" t="str">
        <x:v>REL-607</x:v>
      </x:c>
      <x:c r="B359" s="11" t="n">
        <x:v>358</x:v>
      </x:c>
      <x:c r="C359" s="11" t="n">
        <x:v>6</x:v>
      </x:c>
      <x:c r="D359" s="10" t="str">
        <x:v>14</x:v>
      </x:c>
      <x:c r="E359" s="10" t="str">
        <x:v>observed</x:v>
      </x:c>
      <x:c r="F359" s="10" t="str">
        <x:v>Perform security review/penetration test</x:v>
      </x:c>
      <x:c r="G359" s="10" t="str">
        <x:v>IDOR/RLS, privilege escalation, token/file/export, realtime, webhook, injection, race and sensitive-data findings are resolved to release policy.</x:v>
      </x:c>
      <x:c r="H359" s="10" t="str">
        <x:v>ADM-WF-017</x:v>
      </x:c>
      <x:c r="I359" s="10" t="str"/>
      <x:c r="J359" s="10" t="str">
        <x:v>Historical feature-spec progress ledger: done — rel-phase6.ts (combined)</x:v>
      </x:c>
    </x:row>
    <x:row r="360" ht="42" customHeight="1">
      <x:c r="A360" s="10" t="str">
        <x:v>REL-608</x:v>
      </x:c>
      <x:c r="B360" s="11" t="n">
        <x:v>359</x:v>
      </x:c>
      <x:c r="C360" s="11" t="n">
        <x:v>6</x:v>
      </x:c>
      <x:c r="D360" s="10" t="str">
        <x:v>14</x:v>
      </x:c>
      <x:c r="E360" s="10" t="str">
        <x:v>observed</x:v>
      </x:c>
      <x:c r="F360" s="10" t="str">
        <x:v>Run load/soak/fault tests</x:v>
      </x:c>
      <x:c r="G360" s="10" t="str">
        <x:v>Portfolio scale, command center, publication fanout, scanning, notifications, exports and provider/database degradation meet SLO/recovery goals.</x:v>
      </x:c>
      <x:c r="H360" s="10" t="str">
        <x:v>ADM-WF-017</x:v>
      </x:c>
      <x:c r="I360" s="10" t="str"/>
      <x:c r="J360" s="10" t="str">
        <x:v>Historical feature-spec progress ledger: done — rel-phase6.ts (combined)</x:v>
      </x:c>
    </x:row>
    <x:row r="361" ht="42" customHeight="1">
      <x:c r="A361" s="10" t="str">
        <x:v>REL-609</x:v>
      </x:c>
      <x:c r="B361" s="11" t="n">
        <x:v>360</x:v>
      </x:c>
      <x:c r="C361" s="11" t="n">
        <x:v>6</x:v>
      </x:c>
      <x:c r="D361" s="10" t="str">
        <x:v>14</x:v>
      </x:c>
      <x:c r="E361" s="10" t="str">
        <x:v>observed</x:v>
      </x:c>
      <x:c r="F361" s="10" t="str">
        <x:v>Produce operational runbooks</x:v>
      </x:c>
      <x:c r="G361" s="10" t="str">
        <x:v>Auth/context, migration, RLS, publication backlog, provider outage, ticket scan, data mismatch, compromised token, privacy/security incident and rollback have tested steps/owners.</x:v>
      </x:c>
      <x:c r="H361" s="10" t="str">
        <x:v>ADM-WF-017</x:v>
      </x:c>
      <x:c r="I361" s="10" t="str"/>
      <x:c r="J361" s="10" t="str">
        <x:v>Historical feature-spec progress ledger: done — rel-phase6.ts (combined)</x:v>
      </x:c>
    </x:row>
    <x:row r="362" ht="42" customHeight="1">
      <x:c r="A362" s="10" t="str">
        <x:v>REL-610</x:v>
      </x:c>
      <x:c r="B362" s="11" t="n">
        <x:v>361</x:v>
      </x:c>
      <x:c r="C362" s="11" t="n">
        <x:v>6</x:v>
      </x:c>
      <x:c r="D362" s="10" t="str">
        <x:v>14</x:v>
      </x:c>
      <x:c r="E362" s="10" t="str">
        <x:v>observed</x:v>
      </x:c>
      <x:c r="F362" s="10" t="str">
        <x:v>Pilot and GA checklist</x:v>
      </x:c>
      <x:c r="G362" s="10" t="str">
        <x:v>Design partners, data migration/reconciliation, flags, support/training, monitoring window, rollback threshold, incident staffing, release notes and legacy cutoff are signed off.</x:v>
      </x:c>
      <x:c r="H362" s="10" t="str">
        <x:v>ADM-WF-017</x:v>
      </x:c>
      <x:c r="I362" s="10" t="str"/>
      <x:c r="J362" s="10" t="str">
        <x:v>Historical feature-spec progress ledger: done — rel-phase6.ts (combined)</x:v>
      </x:c>
    </x:row>
    <x:row r="363" ht="42" customHeight="1">
      <x:c r="A363" s="10" t="str">
        <x:v>REL-611</x:v>
      </x:c>
      <x:c r="B363" s="11" t="n">
        <x:v>362</x:v>
      </x:c>
      <x:c r="C363" s="11" t="n">
        <x:v>6</x:v>
      </x:c>
      <x:c r="D363" s="10" t="str">
        <x:v>14</x:v>
      </x:c>
      <x:c r="E363" s="10" t="str">
        <x:v>observed</x:v>
      </x:c>
      <x:c r="F363" s="10" t="str">
        <x:v>Delete dead/legacy code</x:v>
      </x:c>
      <x:c r="G363" s="10" t="str">
        <x:v>Telemetry and reconciliation prove safe; old planners/routes/policies/dual writes/flags are removed and dependency/security surface is reduced.</x:v>
      </x:c>
      <x:c r="H363" s="10" t="str">
        <x:v>ADM-WF-017</x:v>
      </x:c>
      <x:c r="I363" s="10" t="str"/>
      <x:c r="J363" s="10" t="str">
        <x:v>Historical feature-spec progress ledger: done — rel-phase6.ts (combined)</x:v>
      </x:c>
    </x:row>
  </x:sheetData>
  <x:conditionalFormatting sqref="E2:E363">
    <x:cfRule type="containsText" dxfId="20" priority="1" operator="containsText" text="done"/>
    <x:cfRule type="containsText" dxfId="21" priority="2" operator="containsText" text="implemented"/>
    <x:cfRule type="containsText" dxfId="22" priority="3" operator="containsText" text="ready_for_independent_verification"/>
    <x:cfRule type="containsText" dxfId="23" priority="4" operator="containsText" text="ready_for_staging"/>
    <x:cfRule type="containsText" dxfId="24" priority="5" operator="containsText" text="in_progress"/>
    <x:cfRule type="containsText" dxfId="25" priority="6" operator="containsText" text="reproduced"/>
    <x:cfRule type="containsText" dxfId="26" priority="7" operator="containsText" text="observed"/>
    <x:cfRule type="containsText" dxfId="27" priority="8" operator="containsText" text="not_verified"/>
    <x:cfRule type="containsText" dxfId="28" priority="9" operator="containsText" text="evidence_complete"/>
  </x:conditionalFormatting>
  <x:pageMargins left="0.7" right="0.7" top="0.75" bottom="0.75" header="0.3" footer="0.3"/>
  <x:tableParts count="1">
    <x:tablePart xmlns:r="http://schemas.openxmlformats.org/officeDocument/2006/relationships" r:id="R2e570dbb1aac4c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9" hidden="0" customWidth="1"/>
    <x:col min="4" max="4" width="16" hidden="0" customWidth="1"/>
    <x:col min="5" max="5" width="34" hidden="0" customWidth="1"/>
    <x:col min="6" max="6" width="54" hidden="0" customWidth="1"/>
    <x:col min="7" max="7" width="28" hidden="0" customWidth="1"/>
    <x:col min="8" max="8" width="22" hidden="0" customWidth="1"/>
    <x:col min="9" max="9" width="24" hidden="0" customWidth="1"/>
    <x:col min="10" max="10" width="22" hidden="0" customWidth="1"/>
  </x:cols>
  <x:sheetData>
    <x:row r="1" ht="30" customHeight="1">
      <x:c r="A1" s="9" t="str">
        <x:v>Gate ID</x:v>
      </x:c>
      <x:c r="B1" s="9" t="str">
        <x:v>Title</x:v>
      </x:c>
      <x:c r="C1" s="9" t="str">
        <x:v>Wave</x:v>
      </x:c>
      <x:c r="D1" s="9" t="str">
        <x:v>Check kind</x:v>
      </x:c>
      <x:c r="E1" s="9" t="str">
        <x:v>Command</x:v>
      </x:c>
      <x:c r="F1" s="9" t="str">
        <x:v>Acceptance</x:v>
      </x:c>
      <x:c r="G1" s="9" t="str">
        <x:v>Evidence kinds</x:v>
      </x:c>
      <x:c r="H1" s="9" t="str">
        <x:v>Dependencies</x:v>
      </x:c>
      <x:c r="I1" s="9" t="str">
        <x:v>Owner</x:v>
      </x:c>
      <x:c r="J1" s="9" t="str">
        <x:v>Evidence status</x:v>
      </x:c>
    </x:row>
    <x:row r="2" ht="42" customHeight="1">
      <x:c r="A2" s="10" t="str">
        <x:v>LG-01</x:v>
      </x:c>
      <x:c r="B2" s="10" t="str">
        <x:v>TypeScript typecheck passes</x:v>
      </x:c>
      <x:c r="C2" s="11" t="n">
        <x:v>0</x:v>
      </x:c>
      <x:c r="D2" s="10" t="str">
        <x:v>command</x:v>
      </x:c>
      <x:c r="E2" s="10" t="str">
        <x:v>npm run typecheck</x:v>
      </x:c>
      <x:c r="F2" s="10" t="str">
        <x:v>Exit code 0 under the pinned Node 20 toolchain.</x:v>
      </x:c>
      <x:c r="G2" s="10" t="str">
        <x:v>ci_run</x:v>
      </x:c>
      <x:c r="H2" s="10" t="str"/>
      <x:c r="I2" s="10" t="str">
        <x:v>Engineering</x:v>
      </x:c>
      <x:c r="J2" s="10" t="str">
        <x:v>not_verified</x:v>
      </x:c>
    </x:row>
    <x:row r="3" ht="42" customHeight="1">
      <x:c r="A3" s="10" t="str">
        <x:v>LG-02</x:v>
      </x:c>
      <x:c r="B3" s="10" t="str">
        <x:v>Production build passes</x:v>
      </x:c>
      <x:c r="C3" s="11" t="n">
        <x:v>0</x:v>
      </x:c>
      <x:c r="D3" s="10" t="str">
        <x:v>command</x:v>
      </x:c>
      <x:c r="E3" s="10" t="str">
        <x:v>npm run build</x:v>
      </x:c>
      <x:c r="F3" s="10" t="str">
        <x:v>Production build exits 0 with the governed environment fixture.</x:v>
      </x:c>
      <x:c r="G3" s="10" t="str">
        <x:v>ci_run</x:v>
      </x:c>
      <x:c r="H3" s="10" t="str">
        <x:v>LG-01</x:v>
      </x:c>
      <x:c r="I3" s="10" t="str">
        <x:v>Engineering</x:v>
      </x:c>
      <x:c r="J3" s="10" t="str">
        <x:v>not_verified</x:v>
      </x:c>
    </x:row>
    <x:row r="4" ht="42" customHeight="1">
      <x:c r="A4" s="10" t="str">
        <x:v>LG-03</x:v>
      </x:c>
      <x:c r="B4" s="10" t="str">
        <x:v>Admin automated tests pass</x:v>
      </x:c>
      <x:c r="C4" s="11" t="n">
        <x:v>0</x:v>
      </x:c>
      <x:c r="D4" s="10" t="str">
        <x:v>command</x:v>
      </x:c>
      <x:c r="E4" s="10" t="str">
        <x:v>npx vitest run __tests__/admin</x:v>
      </x:c>
      <x:c r="F4" s="10" t="str">
        <x:v>All Admin suites pass with no unexplained skips.</x:v>
      </x:c>
      <x:c r="G4" s="10" t="str">
        <x:v>test_run</x:v>
      </x:c>
      <x:c r="H4" s="10" t="str">
        <x:v>LG-01</x:v>
      </x:c>
      <x:c r="I4" s="10" t="str">
        <x:v>Engineering</x:v>
      </x:c>
      <x:c r="J4" s="10" t="str">
        <x:v>not_verified</x:v>
      </x:c>
    </x:row>
    <x:row r="5" ht="42" customHeight="1">
      <x:c r="A5" s="10" t="str">
        <x:v>LG-04</x:v>
      </x:c>
      <x:c r="B5" s="10" t="str">
        <x:v>Admin route registry passes</x:v>
      </x:c>
      <x:c r="C5" s="11" t="n">
        <x:v>0</x:v>
      </x:c>
      <x:c r="D5" s="10" t="str">
        <x:v>command</x:v>
      </x:c>
      <x:c r="E5" s="10" t="str">
        <x:v>npm run check:admin-route-registry</x:v>
      </x:c>
      <x:c r="F5" s="10" t="str">
        <x:v>Every Admin route/method is classified and legacy debt does not grow.</x:v>
      </x:c>
      <x:c r="G5" s="10" t="str">
        <x:v>ci_run</x:v>
      </x:c>
      <x:c r="H5" s="10" t="str"/>
      <x:c r="I5" s="10" t="str">
        <x:v>Security engineering</x:v>
      </x:c>
      <x:c r="J5" s="10" t="str">
        <x:v>not_verified</x:v>
      </x:c>
    </x:row>
    <x:row r="6" ht="42" customHeight="1">
      <x:c r="A6" s="10" t="str">
        <x:v>LG-05</x:v>
      </x:c>
      <x:c r="B6" s="10" t="str">
        <x:v>Service-role allowlist passes</x:v>
      </x:c>
      <x:c r="C6" s="11" t="n">
        <x:v>1</x:v>
      </x:c>
      <x:c r="D6" s="10" t="str">
        <x:v>command</x:v>
      </x:c>
      <x:c r="E6" s="10" t="str">
        <x:v>npm run check:service-role-allowlist</x:v>
      </x:c>
      <x:c r="F6" s="10" t="str">
        <x:v>No unreviewed bare service-role import remains.</x:v>
      </x:c>
      <x:c r="G6" s="10" t="str">
        <x:v>ci_run</x:v>
      </x:c>
      <x:c r="H6" s="10" t="str"/>
      <x:c r="I6" s="10" t="str">
        <x:v>Security engineering</x:v>
      </x:c>
      <x:c r="J6" s="10" t="str">
        <x:v>not_verified</x:v>
      </x:c>
    </x:row>
    <x:row r="7" ht="42" customHeight="1">
      <x:c r="A7" s="10" t="str">
        <x:v>LG-06</x:v>
      </x:c>
      <x:c r="B7" s="10" t="str">
        <x:v>Migration validation passes</x:v>
      </x:c>
      <x:c r="C7" s="11" t="n">
        <x:v>0</x:v>
      </x:c>
      <x:c r="D7" s="10" t="str">
        <x:v>command</x:v>
      </x:c>
      <x:c r="E7" s="10" t="str">
        <x:v>npm run check:migration-validation</x:v>
      </x:c>
      <x:c r="F7" s="10" t="str">
        <x:v>Every governed migration has safe SQL and matching evidence manifest.</x:v>
      </x:c>
      <x:c r="G7" s="10" t="str">
        <x:v>ci_run</x:v>
      </x:c>
      <x:c r="H7" s="10" t="str"/>
      <x:c r="I7" s="10" t="str">
        <x:v>Database engineering</x:v>
      </x:c>
      <x:c r="J7" s="10" t="str">
        <x:v>not_verified</x:v>
      </x:c>
    </x:row>
    <x:row r="8" ht="42" customHeight="1">
      <x:c r="A8" s="10" t="str">
        <x:v>LG-07</x:v>
      </x:c>
      <x:c r="B8" s="10" t="str">
        <x:v>Zero open P0 findings</x:v>
      </x:c>
      <x:c r="C8" s="11" t="n">
        <x:v>1</x:v>
      </x:c>
      <x:c r="D8" s="10" t="str">
        <x:v>finding_query</x:v>
      </x:c>
      <x:c r="E8" s="10"/>
      <x:c r="F8" s="10" t="str">
        <x:v>All P0 findings are Done with required evidence.</x:v>
      </x:c>
      <x:c r="G8" s="10" t="str">
        <x:v>independent_verification; security_signoff</x:v>
      </x:c>
      <x:c r="H8" s="10" t="str">
        <x:v>LG-04; LG-05; LG-06</x:v>
      </x:c>
      <x:c r="I8" s="10" t="str">
        <x:v>Security</x:v>
      </x:c>
      <x:c r="J8" s="10" t="str">
        <x:v>not_verified</x:v>
      </x:c>
    </x:row>
    <x:row r="9" ht="42" customHeight="1">
      <x:c r="A9" s="10" t="str">
        <x:v>LG-08</x:v>
      </x:c>
      <x:c r="B9" s="10" t="str">
        <x:v>Zero launch-blocking P1 findings</x:v>
      </x:c>
      <x:c r="C9" s="11" t="n">
        <x:v>4</x:v>
      </x:c>
      <x:c r="D9" s="10" t="str">
        <x:v>finding_query</x:v>
      </x:c>
      <x:c r="E9" s="10"/>
      <x:c r="F9" s="10" t="str">
        <x:v>All P1 security, isolation, migration, and delivery findings are Done.</x:v>
      </x:c>
      <x:c r="G9" s="10" t="str">
        <x:v>independent_verification; security_signoff</x:v>
      </x:c>
      <x:c r="H9" s="10" t="str">
        <x:v>LG-07</x:v>
      </x:c>
      <x:c r="I9" s="10" t="str">
        <x:v>Security</x:v>
      </x:c>
      <x:c r="J9" s="10" t="str">
        <x:v>not_verified</x:v>
      </x:c>
    </x:row>
    <x:row r="10" ht="42" customHeight="1">
      <x:c r="A10" s="10" t="str">
        <x:v>LG-09</x:v>
      </x:c>
      <x:c r="B10" s="10" t="str">
        <x:v>SECURITY DEFINER inventory complete</x:v>
      </x:c>
      <x:c r="C10" s="11" t="n">
        <x:v>1</x:v>
      </x:c>
      <x:c r="D10" s="10" t="str">
        <x:v>evidence_query</x:v>
      </x:c>
      <x:c r="E10" s="10"/>
      <x:c r="F10" s="10" t="str">
        <x:v>Every privileged function has actor binding, pinned search path, restricted grants, tests, or an approved removal record.</x:v>
      </x:c>
      <x:c r="G10" s="10" t="str">
        <x:v>schema_diff; rls_matrix; security_signoff</x:v>
      </x:c>
      <x:c r="H10" s="10" t="str">
        <x:v>LG-06</x:v>
      </x:c>
      <x:c r="I10" s="10" t="str">
        <x:v>Database security</x:v>
      </x:c>
      <x:c r="J10" s="10" t="str">
        <x:v>not_verified</x:v>
      </x:c>
    </x:row>
    <x:row r="11" ht="42" customHeight="1">
      <x:c r="A11" s="10" t="str">
        <x:v>LG-10</x:v>
      </x:c>
      <x:c r="B11" s="10" t="str">
        <x:v>Repository and staging migration parity</x:v>
      </x:c>
      <x:c r="C11" s="11" t="n">
        <x:v>1</x:v>
      </x:c>
      <x:c r="D11" s="10" t="str">
        <x:v>evidence_query</x:v>
      </x:c>
      <x:c r="E11" s="10"/>
      <x:c r="F11" s="10" t="str">
        <x:v>Named staging schema, policies, grants, buckets, functions, and migration versions match the immutable commit.</x:v>
      </x:c>
      <x:c r="G11" s="10" t="str">
        <x:v>migration_apply; schema_diff</x:v>
      </x:c>
      <x:c r="H11" s="10" t="str">
        <x:v>LG-06</x:v>
      </x:c>
      <x:c r="I11" s="10" t="str">
        <x:v>Database engineering</x:v>
      </x:c>
      <x:c r="J11" s="10" t="str">
        <x:v>not_verified</x:v>
      </x:c>
    </x:row>
    <x:row r="12" ht="42" customHeight="1">
      <x:c r="A12" s="10" t="str">
        <x:v>LG-11</x:v>
      </x:c>
      <x:c r="B12" s="10" t="str">
        <x:v>Two-organization RLS matrix passes</x:v>
      </x:c>
      <x:c r="C12" s="11" t="n">
        <x:v>1</x:v>
      </x:c>
      <x:c r="D12" s="10" t="str">
        <x:v>command</x:v>
      </x:c>
      <x:c r="E12" s="10" t="str">
        <x:v>npm run test:rls-matrix</x:v>
      </x:c>
      <x:c r="F12" s="10" t="str">
        <x:v>Positive and cross-organization negative cases pass for every exposed domain.</x:v>
      </x:c>
      <x:c r="G12" s="10" t="str">
        <x:v>rls_matrix</x:v>
      </x:c>
      <x:c r="H12" s="10" t="str">
        <x:v>LG-09; LG-10</x:v>
      </x:c>
      <x:c r="I12" s="10" t="str">
        <x:v>Security QA</x:v>
      </x:c>
      <x:c r="J12" s="10" t="str">
        <x:v>not_verified</x:v>
      </x:c>
    </x:row>
    <x:row r="13" ht="42" customHeight="1">
      <x:c r="A13" s="10" t="str">
        <x:v>LG-12</x:v>
      </x:c>
      <x:c r="B13" s="10" t="str">
        <x:v>Admin to Worker journey passes</x:v>
      </x:c>
      <x:c r="C13" s="11" t="n">
        <x:v>3</x:v>
      </x:c>
      <x:c r="D13" s="10" t="str">
        <x:v>workflow_query</x:v>
      </x:c>
      <x:c r="E13" s="10"/>
      <x:c r="F13" s="10" t="str">
        <x:v>Posting through check-in and recipient acknowledgement passes without soft assertions.</x:v>
      </x:c>
      <x:c r="G13" s="10" t="str">
        <x:v>test_run; api_capture</x:v>
      </x:c>
      <x:c r="H13" s="10" t="str">
        <x:v>LG-11</x:v>
      </x:c>
      <x:c r="I13" s="10" t="str">
        <x:v>Product QA</x:v>
      </x:c>
      <x:c r="J13" s="10" t="str">
        <x:v>not_verified</x:v>
      </x:c>
    </x:row>
    <x:row r="14" ht="42" customHeight="1">
      <x:c r="A14" s="10" t="str">
        <x:v>LG-13</x:v>
      </x:c>
      <x:c r="B14" s="10" t="str">
        <x:v>Admin to Artist journey passes</x:v>
      </x:c>
      <x:c r="C14" s="11" t="n">
        <x:v>2</x:v>
      </x:c>
      <x:c r="D14" s="10" t="str">
        <x:v>workflow_query</x:v>
      </x:c>
      <x:c r="E14" s="10"/>
      <x:c r="F14" s="10" t="str">
        <x:v>Assignment and publication reach the intended Artist surface with tenant isolation.</x:v>
      </x:c>
      <x:c r="G14" s="10" t="str">
        <x:v>test_run; api_capture</x:v>
      </x:c>
      <x:c r="H14" s="10" t="str">
        <x:v>LG-11</x:v>
      </x:c>
      <x:c r="I14" s="10" t="str">
        <x:v>Product QA</x:v>
      </x:c>
      <x:c r="J14" s="10" t="str">
        <x:v>not_verified</x:v>
      </x:c>
    </x:row>
    <x:row r="15" ht="42" customHeight="1">
      <x:c r="A15" s="10" t="str">
        <x:v>LG-14</x:v>
      </x:c>
      <x:c r="B15" s="10" t="str">
        <x:v>Canonical event lifecycle passes</x:v>
      </x:c>
      <x:c r="C15" s="11" t="n">
        <x:v>2</x:v>
      </x:c>
      <x:c r="D15" s="10" t="str">
        <x:v>workflow_query</x:v>
      </x:c>
      <x:c r="E15" s="10"/>
      <x:c r="F15" s="10" t="str">
        <x:v>Provider ingestion, events_v2, tour assignment, publication, calendar, and Artist delivery reconcile with zero unexplained delta.</x:v>
      </x:c>
      <x:c r="G15" s="10" t="str">
        <x:v>test_run; schema_diff</x:v>
      </x:c>
      <x:c r="H15" s="10" t="str">
        <x:v>LG-10; LG-11</x:v>
      </x:c>
      <x:c r="I15" s="10" t="str">
        <x:v>Product and data</x:v>
      </x:c>
      <x:c r="J15" s="10" t="str">
        <x:v>not_verified</x:v>
      </x:c>
    </x:row>
    <x:row r="16" ht="42" customHeight="1">
      <x:c r="A16" s="10" t="str">
        <x:v>LG-15</x:v>
      </x:c>
      <x:c r="B16" s="10" t="str">
        <x:v>Multi-organization switching and revocation pass</x:v>
      </x:c>
      <x:c r="C16" s="11" t="n">
        <x:v>1</x:v>
      </x:c>
      <x:c r="D16" s="10" t="str">
        <x:v>workflow_query</x:v>
      </x:c>
      <x:c r="E16" s="10"/>
      <x:c r="F16" s="10" t="str">
        <x:v>Switch, stale-tab, revocation, and cache invalidation behave consistently in UI, API, and database.</x:v>
      </x:c>
      <x:c r="G16" s="10" t="str">
        <x:v>test_run; rls_matrix</x:v>
      </x:c>
      <x:c r="H16" s="10" t="str">
        <x:v>LG-11</x:v>
      </x:c>
      <x:c r="I16" s="10" t="str">
        <x:v>Security QA</x:v>
      </x:c>
      <x:c r="J16" s="10" t="str">
        <x:v>not_verified</x:v>
      </x:c>
    </x:row>
    <x:row r="17" ht="42" customHeight="1">
      <x:c r="A17" s="10" t="str">
        <x:v>LG-16</x:v>
      </x:c>
      <x:c r="B17" s="10" t="str">
        <x:v>Navigation, accessibility, and responsive acceptance</x:v>
      </x:c>
      <x:c r="C17" s="11" t="n">
        <x:v>5</x:v>
      </x:c>
      <x:c r="D17" s="10" t="str">
        <x:v>evidence_query</x:v>
      </x:c>
      <x:c r="E17" s="10"/>
      <x:c r="F17" s="10" t="str">
        <x:v>Canonical navigation, keyboard, screen-reader, phone, tablet, and desktop journeys pass.</x:v>
      </x:c>
      <x:c r="G17" s="10" t="str">
        <x:v>accessibility; test_run</x:v>
      </x:c>
      <x:c r="H17" s="10" t="str">
        <x:v>LG-12; LG-13; LG-14</x:v>
      </x:c>
      <x:c r="I17" s="10" t="str">
        <x:v>Product QA</x:v>
      </x:c>
      <x:c r="J17" s="10" t="str">
        <x:v>not_verified</x:v>
      </x:c>
    </x:row>
    <x:row r="18" ht="42" customHeight="1">
      <x:c r="A18" s="10" t="str">
        <x:v>LG-17</x:v>
      </x:c>
      <x:c r="B18" s="10" t="str">
        <x:v>Performance and reliability acceptance</x:v>
      </x:c>
      <x:c r="C18" s="11" t="n">
        <x:v>5</x:v>
      </x:c>
      <x:c r="D18" s="10" t="str">
        <x:v>evidence_query</x:v>
      </x:c>
      <x:c r="E18" s="10"/>
      <x:c r="F18" s="10" t="str">
        <x:v>Query budgets, retries, idempotency, observability, and failure recovery meet approved thresholds.</x:v>
      </x:c>
      <x:c r="G18" s="10" t="str">
        <x:v>performance; retry_recovery; rollback</x:v>
      </x:c>
      <x:c r="H18" s="10" t="str">
        <x:v>LG-12; LG-13; LG-14</x:v>
      </x:c>
      <x:c r="I18" s="10" t="str">
        <x:v>Reliability</x:v>
      </x:c>
      <x:c r="J18" s="10" t="str">
        <x:v>not_verified</x:v>
      </x:c>
    </x:row>
    <x:row r="19" ht="42" customHeight="1">
      <x:c r="A19" s="10" t="str">
        <x:v>LG-18</x:v>
      </x:c>
      <x:c r="B19" s="10" t="str">
        <x:v>Final release decision recorded</x:v>
      </x:c>
      <x:c r="C19" s="11" t="n">
        <x:v>6</x:v>
      </x:c>
      <x:c r="D19" s="10" t="str">
        <x:v>human_signoff</x:v>
      </x:c>
      <x:c r="E19" s="10"/>
      <x:c r="F19" s="10" t="str">
        <x:v>Independent verification plus named product and security approvers record GO; otherwise release remains NO-GO.</x:v>
      </x:c>
      <x:c r="G19" s="10" t="str">
        <x:v>independent_verification; product_signoff; security_signoff</x:v>
      </x:c>
      <x:c r="H19" s="10" t="str">
        <x:v>LG-02; LG-03; LG-07; LG-08; LG-11; LG-16; LG-17</x:v>
      </x:c>
      <x:c r="I19" s="10" t="str">
        <x:v>Release authority</x:v>
      </x:c>
      <x:c r="J19" s="10" t="str">
        <x:v>not_verified</x:v>
      </x:c>
    </x:row>
  </x:sheetData>
  <x:conditionalFormatting sqref="J2:J19">
    <x:cfRule type="containsText" dxfId="29" priority="1" operator="containsText" text="done"/>
    <x:cfRule type="containsText" dxfId="30" priority="2" operator="containsText" text="implemented"/>
    <x:cfRule type="containsText" dxfId="31" priority="3" operator="containsText" text="ready_for_independent_verification"/>
    <x:cfRule type="containsText" dxfId="32" priority="4" operator="containsText" text="ready_for_staging"/>
    <x:cfRule type="containsText" dxfId="33" priority="5" operator="containsText" text="in_progress"/>
    <x:cfRule type="containsText" dxfId="34" priority="6" operator="containsText" text="reproduced"/>
    <x:cfRule type="containsText" dxfId="35" priority="7" operator="containsText" text="observed"/>
    <x:cfRule type="containsText" dxfId="36" priority="8" operator="containsText" text="not_verified"/>
    <x:cfRule type="containsText" dxfId="37" priority="9" operator="containsText" text="evidence_complete"/>
  </x:conditionalFormatting>
  <x:pageMargins left="0.7" right="0.7" top="0.75" bottom="0.75" header="0.3" footer="0.3"/>
  <x:tableParts count="1">
    <x:tablePart xmlns:r="http://schemas.openxmlformats.org/officeDocument/2006/relationships" r:id="R3265ac6ec69d49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6" hidden="0" customWidth="1"/>
    <x:col min="3" max="3" width="11" hidden="0" customWidth="1"/>
    <x:col min="4" max="4" width="12" hidden="0" customWidth="1"/>
    <x:col min="5" max="5" width="10" hidden="0" customWidth="1"/>
    <x:col min="6" max="6" width="13" hidden="0" customWidth="1"/>
    <x:col min="7" max="7" width="14" hidden="0" customWidth="1"/>
    <x:col min="8" max="8" width="54" hidden="0" customWidth="1"/>
    <x:col min="9" max="9" width="46" hidden="0" customWidth="1"/>
    <x:col min="10" max="10" width="54" hidden="0" customWidth="1"/>
    <x:col min="11" max="11" width="22" hidden="0" customWidth="1"/>
  </x:cols>
  <x:sheetData>
    <x:row r="1" ht="30" customHeight="1">
      <x:c r="A1" s="9" t="str">
        <x:v>Risk ID</x:v>
      </x:c>
      <x:c r="B1" s="9" t="str">
        <x:v>Title</x:v>
      </x:c>
      <x:c r="C1" s="9" t="str">
        <x:v>Impact</x:v>
      </x:c>
      <x:c r="D1" s="9" t="str">
        <x:v>Likelihood</x:v>
      </x:c>
      <x:c r="E1" s="9" t="str">
        <x:v>Score</x:v>
      </x:c>
      <x:c r="F1" s="9" t="str">
        <x:v>Level</x:v>
      </x:c>
      <x:c r="G1" s="9" t="str">
        <x:v>Status</x:v>
      </x:c>
      <x:c r="H1" s="9" t="str">
        <x:v>Mitigation</x:v>
      </x:c>
      <x:c r="I1" s="9" t="str">
        <x:v>Trigger</x:v>
      </x:c>
      <x:c r="J1" s="9" t="str">
        <x:v>Contingency</x:v>
      </x:c>
      <x:c r="K1" s="9" t="str">
        <x:v>Owner</x:v>
      </x:c>
    </x:row>
    <x:row r="2" ht="48" customHeight="1">
      <x:c r="A2" s="10" t="str">
        <x:v>RISK-001</x:v>
      </x:c>
      <x:c r="B2" s="10" t="str">
        <x:v>Repository and deployed Supabase divergence</x:v>
      </x:c>
      <x:c r="C2" s="11" t="n">
        <x:v>5</x:v>
      </x:c>
      <x:c r="D2" s="11" t="n">
        <x:v>5</x:v>
      </x:c>
      <x:c r="E2" s="11" t="n">
        <x:v>25</x:v>
      </x:c>
      <x:c r="F2" s="10" t="str">
        <x:v>Critical</x:v>
      </x:c>
      <x:c r="G2" s="10" t="str">
        <x:v>open</x:v>
      </x:c>
      <x:c r="H2" s="10" t="str">
        <x:v>Pin branch, commit, project reference, migration head, and schema inventory; compare staging to repository before promotion.</x:v>
      </x:c>
      <x:c r="I2" s="10" t="str">
        <x:v>Any schema, policy, grant, bucket, or migration mismatch.</x:v>
      </x:c>
      <x:c r="J2" s="10" t="str">
        <x:v>Freeze promotion, restore the last verified migration head, and reconcile through a reviewed additive change.</x:v>
      </x:c>
      <x:c r="K2" s="10"/>
    </x:row>
    <x:row r="3" ht="48" customHeight="1">
      <x:c r="A3" s="10" t="str">
        <x:v>RISK-002</x:v>
      </x:c>
      <x:c r="B3" s="10" t="str">
        <x:v>Event migration loss or duplication</x:v>
      </x:c>
      <x:c r="C3" s="11" t="n">
        <x:v>5</x:v>
      </x:c>
      <x:c r="D3" s="11" t="n">
        <x:v>5</x:v>
      </x:c>
      <x:c r="E3" s="11" t="n">
        <x:v>25</x:v>
      </x:c>
      <x:c r="F3" s="10" t="str">
        <x:v>Critical</x:v>
      </x:c>
      <x:c r="G3" s="10" t="str">
        <x:v>open</x:v>
      </x:c>
      <x:c r="H3" s="10" t="str">
        <x:v>Use stable ID mapping, dry-run backfill, quarantine, row/relationship reconciliation, and rollback rehearsal.</x:v>
      </x:c>
      <x:c r="I3" s="10" t="str">
        <x:v>Any unexplained count, duplicate, orphan, or relationship delta.</x:v>
      </x:c>
      <x:c r="J3" s="10" t="str">
        <x:v>Stop cutover, retain legacy reads, repair quarantined rows, and rerun reconciliation.</x:v>
      </x:c>
      <x:c r="K3" s="10"/>
    </x:row>
    <x:row r="4" ht="48" customHeight="1">
      <x:c r="A4" s="10" t="str">
        <x:v>RISK-003</x:v>
      </x:c>
      <x:c r="B4" s="10" t="str">
        <x:v>Branch reconciliation reintroduces legacy routes</x:v>
      </x:c>
      <x:c r="C4" s="11" t="n">
        <x:v>4</x:v>
      </x:c>
      <x:c r="D4" s="11" t="n">
        <x:v>4</x:v>
      </x:c>
      <x:c r="E4" s="11" t="n">
        <x:v>16</x:v>
      </x:c>
      <x:c r="F4" s="10" t="str">
        <x:v>High</x:v>
      </x:c>
      <x:c r="G4" s="10" t="str">
        <x:v>open</x:v>
      </x:c>
      <x:c r="H4" s="10" t="str">
        <x:v>Classify every delta and enforce exact route/method registry plus navigation smoke.</x:v>
      </x:c>
      <x:c r="I4" s="10" t="str">
        <x:v>A stale or duplicate route appears after reconciliation.</x:v>
      </x:c>
      <x:c r="J4" s="10" t="str">
        <x:v>Disable the route, restore canonical redirect, and add a regression contract.</x:v>
      </x:c>
      <x:c r="K4" s="10"/>
    </x:row>
    <x:row r="5" ht="48" customHeight="1">
      <x:c r="A5" s="10" t="str">
        <x:v>RISK-004</x:v>
      </x:c>
      <x:c r="B5" s="10" t="str">
        <x:v>Role consolidation locks out valid managers</x:v>
      </x:c>
      <x:c r="C5" s="11" t="n">
        <x:v>4</x:v>
      </x:c>
      <x:c r="D5" s="11" t="n">
        <x:v>4</x:v>
      </x:c>
      <x:c r="E5" s="11" t="n">
        <x:v>16</x:v>
      </x:c>
      <x:c r="F5" s="10" t="str">
        <x:v>High</x:v>
      </x:c>
      <x:c r="G5" s="10" t="str">
        <x:v>open</x:v>
      </x:c>
      <x:c r="H5" s="10" t="str">
        <x:v>Maintain an old-to-new role map and run the two-organization capability matrix.</x:v>
      </x:c>
      <x:c r="I5" s="10" t="str">
        <x:v>A seeded valid persona loses an intended action.</x:v>
      </x:c>
      <x:c r="J5" s="10" t="str">
        <x:v>Rollback the role assignment change and restore through an additive capability grant.</x:v>
      </x:c>
      <x:c r="K5" s="10"/>
    </x:row>
    <x:row r="6" ht="48" customHeight="1">
      <x:c r="A6" s="10" t="str">
        <x:v>RISK-005</x:v>
      </x:c>
      <x:c r="B6" s="10" t="str">
        <x:v>Storage privatization breaks existing links</x:v>
      </x:c>
      <x:c r="C6" s="11" t="n">
        <x:v>4</x:v>
      </x:c>
      <x:c r="D6" s="11" t="n">
        <x:v>4</x:v>
      </x:c>
      <x:c r="E6" s="11" t="n">
        <x:v>16</x:v>
      </x:c>
      <x:c r="F6" s="10" t="str">
        <x:v>High</x:v>
      </x:c>
      <x:c r="G6" s="10" t="str">
        <x:v>open</x:v>
      </x:c>
      <x:c r="H6" s="10" t="str">
        <x:v>Inventory and migrate objects, use signed URLs, and verify recipient and outsider behavior.</x:v>
      </x:c>
      <x:c r="I6" s="10" t="str">
        <x:v>Authorized recipients cannot open migrated files or old public URLs remain reachable.</x:v>
      </x:c>
      <x:c r="J6" s="10" t="str">
        <x:v>Keep private access enforced, issue replacement signed links, and surface recoverable expired-link UX.</x:v>
      </x:c>
      <x:c r="K6" s="10"/>
    </x:row>
    <x:row r="7" ht="48" customHeight="1">
      <x:c r="A7" s="10" t="str">
        <x:v>RISK-006</x:v>
      </x:c>
      <x:c r="B7" s="10" t="str">
        <x:v>Workflow work expands launch scope</x:v>
      </x:c>
      <x:c r="C7" s="11" t="n">
        <x:v>4</x:v>
      </x:c>
      <x:c r="D7" s="11" t="n">
        <x:v>3</x:v>
      </x:c>
      <x:c r="E7" s="11" t="n">
        <x:v>12</x:v>
      </x:c>
      <x:c r="F7" s="10" t="str">
        <x:v>High</x:v>
      </x:c>
      <x:c r="G7" s="10" t="str">
        <x:v>open</x:v>
      </x:c>
      <x:c r="H7" s="10" t="str">
        <x:v>Honor locked scope decisions; hide and server-deny deferred capabilities.</x:v>
      </x:c>
      <x:c r="I7" s="10" t="str">
        <x:v>A deferred finance, signature, native, or provider surface becomes reachable.</x:v>
      </x:c>
      <x:c r="J7" s="10" t="str">
        <x:v>Disable the surface and record the regression before continuing the wave.</x:v>
      </x:c>
      <x:c r="K7" s="10"/>
    </x:row>
  </x:sheetData>
  <x:conditionalFormatting sqref="E2:E7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{D5436D63-DA02-DB14-3952-10BD70B91A07}</x14:id>
        </x:ext>
      </x:extLst>
    </x:cfRule>
  </x:conditionalFormatting>
  <x:conditionalFormatting sqref="F2:F7">
    <x:cfRule type="containsText" dxfId="38" priority="2" operator="containsText" text="Critical"/>
    <x:cfRule type="containsText" dxfId="39" priority="3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8f71c7ea358644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5436D63-DA02-DB14-3952-10BD70B91A07}">
            <x14:dataBar gradient="1">
              <x14:cfvo type="min"/>
              <x14:cfvo type="max"/>
              <x14:fillColor rgb="FFB91C1C"/>
            </x14:dataBar>
          </x14:cfRule>
          <xm:sqref>E2:E7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2" hidden="0" customWidth="1"/>
    <x:col min="4" max="4" width="15" hidden="0" customWidth="1"/>
    <x:col min="5" max="5" width="22" hidden="0" customWidth="1"/>
    <x:col min="6" max="6" width="18" hidden="0" customWidth="1"/>
    <x:col min="7" max="7" width="44" hidden="0" customWidth="1"/>
    <x:col min="8" max="8" width="58" hidden="0" customWidth="1"/>
    <x:col min="9" max="9" width="34" hidden="0" customWidth="1"/>
    <x:col min="10" max="10" width="28" hidden="0" customWidth="1"/>
    <x:col min="11" max="11" width="22" hidden="0" customWidth="1"/>
    <x:col min="12" max="12" width="62" hidden="0" customWidth="1"/>
  </x:cols>
  <x:sheetData>
    <x:row r="1" ht="30" customHeight="1">
      <x:c r="A1" s="9" t="str">
        <x:v>Evidence ID</x:v>
      </x:c>
      <x:c r="B1" s="9" t="str">
        <x:v>Kind</x:v>
      </x:c>
      <x:c r="C1" s="9" t="str">
        <x:v>Result</x:v>
      </x:c>
      <x:c r="D1" s="9" t="str">
        <x:v>Environment</x:v>
      </x:c>
      <x:c r="E1" s="9" t="str">
        <x:v>Captured at</x:v>
      </x:c>
      <x:c r="F1" s="9" t="str">
        <x:v>Captured by</x:v>
      </x:c>
      <x:c r="G1" s="9" t="str">
        <x:v>Commit</x:v>
      </x:c>
      <x:c r="H1" s="9" t="str">
        <x:v>Artifact</x:v>
      </x:c>
      <x:c r="I1" s="9" t="str">
        <x:v>Findings</x:v>
      </x:c>
      <x:c r="J1" s="9" t="str">
        <x:v>Workflows</x:v>
      </x:c>
      <x:c r="K1" s="9" t="str">
        <x:v>Gates</x:v>
      </x:c>
      <x:c r="L1" s="9" t="str">
        <x:v>Notes</x:v>
      </x:c>
    </x:row>
    <x:row r="2" ht="46" customHeight="1">
      <x:c r="A2" s="10" t="str">
        <x:v>EVD-BASELINE-CHECKPOINT</x:v>
      </x:c>
      <x:c r="B2" s="10" t="str">
        <x:v>commit</x:v>
      </x:c>
      <x:c r="C2" s="10" t="str">
        <x:v>pass</x:v>
      </x:c>
      <x:c r="D2" s="10" t="str">
        <x:v>local</x:v>
      </x:c>
      <x:c r="E2" s="12" t="n">
        <x:v>46261.39236111111</x:v>
      </x:c>
      <x:c r="F2" s="10" t="str">
        <x:v>Codex</x:v>
      </x:c>
      <x:c r="G2" s="10" t="str">
        <x:v>a043d35d4304cc8181078a17e2138c1f47baf199</x:v>
      </x:c>
      <x:c r="H2" s="10" t="str">
        <x:v>git:codex/admin-workflow-completion@a043d35d4304cc8181078a17e2138c1f47baf199</x:v>
      </x:c>
      <x:c r="I2" s="10" t="str">
        <x:v>AOA-002; AOA-015</x:v>
      </x:c>
      <x:c r="J2" s="10" t="str">
        <x:v>ADM-WF-017</x:v>
      </x:c>
      <x:c r="K2" s="10" t="str"/>
      <x:c r="L2" s="10" t="str">
        <x:v>Immutable checkpoint of the 138-path August 21 workspace baseline. Human inventory sign-off remains a separate release control.</x:v>
      </x:c>
    </x:row>
    <x:row r="3" ht="46" customHeight="1">
      <x:c r="A3" s="10" t="str">
        <x:v>EVD-SEC104-LOGISTICS-DDL-LOCAL-FAIL</x:v>
      </x:c>
      <x:c r="B3" s="10" t="str">
        <x:v>test_run</x:v>
      </x:c>
      <x:c r="C3" s="10" t="str">
        <x:v>fail</x:v>
      </x:c>
      <x:c r="D3" s="10" t="str">
        <x:v>local</x:v>
      </x:c>
      <x:c r="E3" s="12" t="n">
        <x:v>46268.959027777775</x:v>
      </x:c>
      <x:c r="F3" s="10" t="str">
        <x:v>Codex</x:v>
      </x:c>
      <x:c r="G3" s="10" t="str">
        <x:v>7630a37ef395e147198a169e94fa888d2f3c7b19</x:v>
      </x:c>
      <x:c r="H3" s="10" t="str">
        <x:v>npx vitest run __tests__/logistics/logistics-route-contract.test.ts</x:v>
      </x:c>
      <x:c r="I3" s="10" t="str">
        <x:v>ADM-M-010</x:v>
      </x:c>
      <x:c r="J3" s="10" t="str">
        <x:v>ADM-WF-013; ADM-WF-017</x:v>
      </x:c>
      <x:c r="K3" s="10" t="str"/>
      <x:c r="L3" s="10" t="str">
        <x:v>Six contract assertions pass and three fail because logistics_team_communications_scope, logistics_ops_foundation, and site_map_zone_ownership exist only in the pre-reconciliation archive. The failure is retained as evidence of active migration-chain debt.</x:v>
      </x:c>
    </x:row>
    <x:row r="4" ht="46" customHeight="1">
      <x:c r="A4" s="10" t="str">
        <x:v>EVD-SEC104-SITEMAP-ACTING-COMMIT</x:v>
      </x:c>
      <x:c r="B4" s="10" t="str">
        <x:v>commit</x:v>
      </x:c>
      <x:c r="C4" s="10" t="str">
        <x:v>pass</x:v>
      </x:c>
      <x:c r="D4" s="10" t="str">
        <x:v>local</x:v>
      </x:c>
      <x:c r="E4" s="12" t="n">
        <x:v>46262.35711805556</x:v>
      </x:c>
      <x:c r="F4" s="10" t="str">
        <x:v>Codex</x:v>
      </x:c>
      <x:c r="G4" s="10" t="str">
        <x:v>abcf56c864b402f5cd85ecbeea618c8fa7edf89e</x:v>
      </x:c>
      <x:c r="H4" s="10" t="str">
        <x:v>git:codex/admin-workflow-completion@abcf56c864b402f5cd85ecbeea618c8fa7edf89e</x:v>
      </x:c>
      <x:c r="I4" s="10" t="str">
        <x:v>ADM-M-013; ADM-M-019</x:v>
      </x:c>
      <x:c r="J4" s="10" t="str">
        <x:v>ADM-WF-013; ADM-WF-017</x:v>
      </x:c>
      <x:c r="K4" s="10" t="str"/>
      <x:c r="L4" s="10" t="str">
        <x:v>Immutable SEC-104 checkpoint binding linked site maps to the acting organization and replacing the generic activity writer with validated, actor-bound commands.</x:v>
      </x:c>
    </x:row>
    <x:row r="5" ht="46" customHeight="1">
      <x:c r="A5" s="10" t="str">
        <x:v>EVD-SEC104-SITEMAP-ACTING-LOCAL</x:v>
      </x:c>
      <x:c r="B5" s="10" t="str">
        <x:v>test_run</x:v>
      </x:c>
      <x:c r="C5" s="10" t="str">
        <x:v>pass</x:v>
      </x:c>
      <x:c r="D5" s="10" t="str">
        <x:v>local</x:v>
      </x:c>
      <x:c r="E5" s="12" t="n">
        <x:v>46262.35711805556</x:v>
      </x:c>
      <x:c r="F5" s="10" t="str">
        <x:v>Codex</x:v>
      </x:c>
      <x:c r="G5" s="10" t="str">
        <x:v>abcf56c864b402f5cd85ecbeea618c8fa7edf89e</x:v>
      </x:c>
      <x:c r="H5" s="10" t="str">
        <x:v>Node 20 route registry, focused active-org/tamper/actor-binding tests, complete Admin Vitest, touched ESLint, scoped TypeScript, and audit-registry checks recorded in TASK_LOG.md</x:v>
      </x:c>
      <x:c r="I5" s="10" t="str">
        <x:v>ADM-M-013; ADM-M-019</x:v>
      </x:c>
      <x:c r="J5" s="10" t="str">
        <x:v>ADM-WF-013; ADM-WF-017</x:v>
      </x:c>
      <x:c r="K5" s="10" t="str"/>
      <x:c r="L5" s="10" t="str">
        <x:v>Local verification passed: 288 routes at 113/113 legacy; linked Org A/Org B mismatch and unscoped-map denial; forged activity action/actor/status rejection; child-map ownership; 230 active Admin files and 3,218 active tests. Live RLS and staging remain unverified.</x:v>
      </x:c>
    </x:row>
    <x:row r="6" ht="46" customHeight="1">
      <x:c r="A6" s="10" t="str">
        <x:v>EVD-SEC104-SITEMAP-COLLAB-COMMIT</x:v>
      </x:c>
      <x:c r="B6" s="10" t="str">
        <x:v>commit</x:v>
      </x:c>
      <x:c r="C6" s="10" t="str">
        <x:v>pass</x:v>
      </x:c>
      <x:c r="D6" s="10" t="str">
        <x:v>local</x:v>
      </x:c>
      <x:c r="E6" s="12" t="n">
        <x:v>46262.3608912037</x:v>
      </x:c>
      <x:c r="F6" s="10" t="str">
        <x:v>Codex</x:v>
      </x:c>
      <x:c r="G6" s="10" t="str">
        <x:v>63ff56bd8a9567b6d34599d9afefa1e21780f950</x:v>
      </x:c>
      <x:c r="H6" s="10" t="str">
        <x:v>git:codex/admin-workflow-completion@63ff56bd8a9567b6d34599d9afefa1e21780f950</x:v>
      </x:c>
      <x:c r="I6" s="10" t="str">
        <x:v>ADM-M-013</x:v>
      </x:c>
      <x:c r="J6" s="10" t="str">
        <x:v>ADM-WF-013; ADM-WF-017</x:v>
      </x:c>
      <x:c r="K6" s="10" t="str"/>
      <x:c r="L6" s="10" t="str">
        <x:v>Immutable SEC-104 checkpoint migrating site-map collaborator reads/removals to active-org capabilities while preserving owner-only removal.</x:v>
      </x:c>
    </x:row>
    <x:row r="7" ht="46" customHeight="1">
      <x:c r="A7" s="10" t="str">
        <x:v>EVD-SEC104-SITEMAP-COLLAB-LOCAL</x:v>
      </x:c>
      <x:c r="B7" s="10" t="str">
        <x:v>test_run</x:v>
      </x:c>
      <x:c r="C7" s="10" t="str">
        <x:v>pass</x:v>
      </x:c>
      <x:c r="D7" s="10" t="str">
        <x:v>local</x:v>
      </x:c>
      <x:c r="E7" s="12" t="n">
        <x:v>46262.3608912037</x:v>
      </x:c>
      <x:c r="F7" s="10" t="str">
        <x:v>Codex</x:v>
      </x:c>
      <x:c r="G7" s="10" t="str">
        <x:v>63ff56bd8a9567b6d34599d9afefa1e21780f950</x:v>
      </x:c>
      <x:c r="H7" s="10" t="str">
        <x:v>Node 20 route registry, collaborator input/source tests, complete Admin Vitest, touched ESLint, scoped TypeScript, and audit-registry checks recorded in TASK_LOG.md</x:v>
      </x:c>
      <x:c r="I7" s="10" t="str">
        <x:v>ADM-M-013</x:v>
      </x:c>
      <x:c r="J7" s="10" t="str">
        <x:v>ADM-WF-013; ADM-WF-017</x:v>
      </x:c>
      <x:c r="K7" s="10" t="str"/>
      <x:c r="L7" s="10" t="str">
        <x:v>Local verification passed: 288 routes at 112/112 legacy; strict collaborator UUID/tamper rejection; active-org plus owner-only removal boundary; 231 active Admin files and 3,223 active tests. Live RLS and staging remain unverified.</x:v>
      </x:c>
    </x:row>
    <x:row r="8" ht="46" customHeight="1">
      <x:c r="A8" s="10" t="str">
        <x:v>EVD-SEC104-SITEMAP-COMMIT</x:v>
      </x:c>
      <x:c r="B8" s="10" t="str">
        <x:v>commit</x:v>
      </x:c>
      <x:c r="C8" s="10" t="str">
        <x:v>pass</x:v>
      </x:c>
      <x:c r="D8" s="10" t="str">
        <x:v>local</x:v>
      </x:c>
      <x:c r="E8" s="12" t="n">
        <x:v>46262.3490625</x:v>
      </x:c>
      <x:c r="F8" s="10" t="str">
        <x:v>Codex</x:v>
      </x:c>
      <x:c r="G8" s="10" t="str">
        <x:v>c50c597d0c24e745d3601b085a7a1daf1d32ad67</x:v>
      </x:c>
      <x:c r="H8" s="10" t="str">
        <x:v>git:codex/admin-workflow-completion@c50c597d0c24e745d3601b085a7a1daf1d32ad67</x:v>
      </x:c>
      <x:c r="I8" s="10" t="str">
        <x:v>ADM-M-013</x:v>
      </x:c>
      <x:c r="J8" s="10" t="str">
        <x:v>ADM-WF-013; ADM-WF-017</x:v>
      </x:c>
      <x:c r="K8" s="10" t="str"/>
      <x:c r="L8" s="10" t="str">
        <x:v>Immutable SEC-104 checkpoint migrating site-map template, export, and version routes to the trusted logistics.view acting-context boundary and reducing the enforced legacy ceiling to 114.</x:v>
      </x:c>
    </x:row>
    <x:row r="9" ht="46" customHeight="1">
      <x:c r="A9" s="10" t="str">
        <x:v>EVD-SEC104-SITEMAP-ELEMENTS-COMMIT</x:v>
      </x:c>
      <x:c r="B9" s="10" t="str">
        <x:v>commit</x:v>
      </x:c>
      <x:c r="C9" s="10" t="str">
        <x:v>pass</x:v>
      </x:c>
      <x:c r="D9" s="10" t="str">
        <x:v>local</x:v>
      </x:c>
      <x:c r="E9" s="12" t="n">
        <x:v>46268.959027777775</x:v>
      </x:c>
      <x:c r="F9" s="10" t="str">
        <x:v>Codex</x:v>
      </x:c>
      <x:c r="G9" s="10" t="str">
        <x:v>7630a37ef395e147198a169e94fa888d2f3c7b19</x:v>
      </x:c>
      <x:c r="H9" s="10" t="str">
        <x:v>git:codex/admin-workflow-completion@7630a37ef395e147198a169e94fa888d2f3c7b19</x:v>
      </x:c>
      <x:c r="I9" s="10" t="str">
        <x:v>ADM-M-013; ADM-M-019</x:v>
      </x:c>
      <x:c r="J9" s="10" t="str">
        <x:v>ADM-WF-013; ADM-WF-017</x:v>
      </x:c>
      <x:c r="K9" s="10" t="str"/>
      <x:c r="L9" s="10" t="str">
        <x:v>Immutable SEC-104 checkpoint for selected-organization-bound site-map element commands, actor-bound RLS, atomic canvas synchronization, database-side tamper constraints, canonical events_v2 parent resolution, and collaborator expiration.</x:v>
      </x:c>
    </x:row>
    <x:row r="10" ht="46" customHeight="1">
      <x:c r="A10" s="10" t="str">
        <x:v>EVD-SEC104-SITEMAP-ELEMENTS-LOCAL</x:v>
      </x:c>
      <x:c r="B10" s="10" t="str">
        <x:v>test_run</x:v>
      </x:c>
      <x:c r="C10" s="10" t="str">
        <x:v>pass</x:v>
      </x:c>
      <x:c r="D10" s="10" t="str">
        <x:v>local</x:v>
      </x:c>
      <x:c r="E10" s="12" t="n">
        <x:v>46268.959027777775</x:v>
      </x:c>
      <x:c r="F10" s="10" t="str">
        <x:v>Codex</x:v>
      </x:c>
      <x:c r="G10" s="10" t="str">
        <x:v>7630a37ef395e147198a169e94fa888d2f3c7b19</x:v>
      </x:c>
      <x:c r="H10" s="10" t="str">
        <x:v>SEC-104 focused Vitest, complete Admin Vitest, touched ESLint, scoped TypeScript, route registry, migration validation, service-role allowlist, and registry validation recorded in TASK_LOG.md</x:v>
      </x:c>
      <x:c r="I10" s="10" t="str">
        <x:v>ADM-M-013; ADM-M-019</x:v>
      </x:c>
      <x:c r="J10" s="10" t="str">
        <x:v>ADM-WF-013; ADM-WF-017</x:v>
      </x:c>
      <x:c r="K10" s="10" t="str"/>
      <x:c r="L10" s="10" t="str">
        <x:v>Local verification passed: 30 focused tests; exact 288-route parity at 110/110 legacy; 233 Admin files and 3,244 Admin tests; touched lint and scoped TypeScript; migration and service-role controls. One live-security file and two environment-dependent Admin tests remain skipped.</x:v>
      </x:c>
    </x:row>
    <x:row r="11" ht="46" customHeight="1">
      <x:c r="A11" s="10" t="str">
        <x:v>EVD-SEC104-SITEMAP-ELEMENTS-RLS-LOCAL</x:v>
      </x:c>
      <x:c r="B11" s="10" t="str">
        <x:v>rls_matrix</x:v>
      </x:c>
      <x:c r="C11" s="10" t="str">
        <x:v>pass</x:v>
      </x:c>
      <x:c r="D11" s="10" t="str">
        <x:v>local</x:v>
      </x:c>
      <x:c r="E11" s="12" t="n">
        <x:v>46268.959027777775</x:v>
      </x:c>
      <x:c r="F11" s="10" t="str">
        <x:v>Codex</x:v>
      </x:c>
      <x:c r="G11" s="10" t="str">
        <x:v>7630a37ef395e147198a169e94fa888d2f3c7b19</x:v>
      </x:c>
      <x:c r="H11" s="10" t="str">
        <x:v>Disposable PostgreSQL fixture: migration apply plus owner, replay, cross-map collision, forged tenant field, invalid geometry, expired collaborator, rollback, cross-actor read, and cross-actor write assertions</x:v>
      </x:c>
      <x:c r="I11" s="10" t="str">
        <x:v>ADM-M-013; ADM-M-019</x:v>
      </x:c>
      <x:c r="J11" s="10" t="str">
        <x:v>ADM-WF-013; ADM-WF-017</x:v>
      </x:c>
      <x:c r="K11" s="10" t="str"/>
      <x:c r="L11" s="10" t="str">
        <x:v>The migration parsed and applied to a fresh disposable local PostgreSQL schema. Atomic replay and rollback plus direct actor/tamper/expiry denials passed. This is isolated local evidence, not dedicated Supabase staging or a complete Org A/Org B matrix.</x:v>
      </x:c>
    </x:row>
    <x:row r="12" ht="46" customHeight="1">
      <x:c r="A12" s="10" t="str">
        <x:v>EVD-SEC104-SITEMAP-LOCAL</x:v>
      </x:c>
      <x:c r="B12" s="10" t="str">
        <x:v>test_run</x:v>
      </x:c>
      <x:c r="C12" s="10" t="str">
        <x:v>pass</x:v>
      </x:c>
      <x:c r="D12" s="10" t="str">
        <x:v>local</x:v>
      </x:c>
      <x:c r="E12" s="12" t="n">
        <x:v>46262.3490625</x:v>
      </x:c>
      <x:c r="F12" s="10" t="str">
        <x:v>Codex</x:v>
      </x:c>
      <x:c r="G12" s="10" t="str">
        <x:v>c50c597d0c24e745d3601b085a7a1daf1d32ad67</x:v>
      </x:c>
      <x:c r="H12" s="10" t="str">
        <x:v>Node 20 route registry, SEC-104 focused Vitest, complete Admin Vitest, touched ESLint, and scoped TypeScript commands recorded in TASK_LOG.md</x:v>
      </x:c>
      <x:c r="I12" s="10" t="str">
        <x:v>ADM-M-013</x:v>
      </x:c>
      <x:c r="J12" s="10" t="str">
        <x:v>ADM-WF-013; ADM-WF-017</x:v>
      </x:c>
      <x:c r="K12" s="10" t="str"/>
      <x:c r="L12" s="10" t="str">
        <x:v>Local verification passed: exact 288 routes at 114/114 legacy; 9 focused tests; 228 active Admin files and 3,206 active Admin tests; touched lint and scoped TypeScript. One live-security file and two environment-dependent tests remain skipped, and no staging evidence is claimed.</x:v>
      </x:c>
    </x:row>
    <x:row r="13" ht="46" customHeight="1">
      <x:c r="A13" s="10" t="str">
        <x:v>EVD-WAVE0-ADMIN-TESTS-LOCAL</x:v>
      </x:c>
      <x:c r="B13" s="10" t="str">
        <x:v>test_run</x:v>
      </x:c>
      <x:c r="C13" s="10" t="str">
        <x:v>pass</x:v>
      </x:c>
      <x:c r="D13" s="10" t="str">
        <x:v>local</x:v>
      </x:c>
      <x:c r="E13" s="12" t="n">
        <x:v>46262.33998842593</x:v>
      </x:c>
      <x:c r="F13" s="10" t="str">
        <x:v>Codex</x:v>
      </x:c>
      <x:c r="G13" s="10" t="str">
        <x:v>8c40df23a4995088cf88ea69bf809035f0c3de28</x:v>
      </x:c>
      <x:c r="H13" s="10" t="str">
        <x:v>/Users/kyledaley/.nvm/versions/node/v20.20.2/bin/node node_modules/vitest/vitest.mjs run __tests__/admin</x:v>
      </x:c>
      <x:c r="I13" s="10" t="str">
        <x:v>AOA-012</x:v>
      </x:c>
      <x:c r="J13" s="10" t="str">
        <x:v>ADM-WF-017</x:v>
      </x:c>
      <x:c r="K13" s="10" t="str"/>
      <x:c r="L13" s="10" t="str">
        <x:v>Local pinned-toolchain run: 227 test files passed, 1 file skipped; 3,203 tests passed and 2 tests skipped. The skipped live/environment security cases remain unverified and prevent this receipt from satisfying LG-03.</x:v>
      </x:c>
    </x:row>
    <x:row r="14" ht="46" customHeight="1">
      <x:c r="A14" s="10" t="str">
        <x:v>EVD-WAVE0-AUDIT-REGISTRY-LOCAL</x:v>
      </x:c>
      <x:c r="B14" s="10" t="str">
        <x:v>test_run</x:v>
      </x:c>
      <x:c r="C14" s="10" t="str">
        <x:v>pass</x:v>
      </x:c>
      <x:c r="D14" s="10" t="str">
        <x:v>local</x:v>
      </x:c>
      <x:c r="E14" s="12" t="n">
        <x:v>46262.339895833335</x:v>
      </x:c>
      <x:c r="F14" s="10" t="str">
        <x:v>Codex</x:v>
      </x:c>
      <x:c r="G14" s="10" t="str">
        <x:v>8c40df23a4995088cf88ea69bf809035f0c3de28</x:v>
      </x:c>
      <x:c r="H14" s="10" t="str">
        <x:v>/Users/kyledaley/.nvm/versions/node/v20.20.2/bin/node --import tsx scripts/audit/admin-workflow-registry.ts --check --require-workbook</x:v>
      </x:c>
      <x:c r="I14" s="10" t="str">
        <x:v>AOA-001; AOA-004; AOA-005; AOA-008; AOA-009; AOA-010; AOA-011; AOA-014</x:v>
      </x:c>
      <x:c r="J14" s="10" t="str">
        <x:v>ADM-WF-017</x:v>
      </x:c>
      <x:c r="K14" s="10" t="str"/>
      <x:c r="L14" s="10" t="str">
        <x:v>Local registry validation passed for 79 findings, 362 specification tasks, 20 workflows, 18 launch gates, the generated views, and the workbook manifest. Local evidence is intentionally not attached to a CI launch gate.</x:v>
      </x:c>
    </x:row>
    <x:row r="15" ht="46" customHeight="1">
      <x:c r="A15" s="10" t="str">
        <x:v>EVD-WAVE0-CONTROLS-COMMIT</x:v>
      </x:c>
      <x:c r="B15" s="10" t="str">
        <x:v>commit</x:v>
      </x:c>
      <x:c r="C15" s="10" t="str">
        <x:v>pass</x:v>
      </x:c>
      <x:c r="D15" s="10" t="str">
        <x:v>local</x:v>
      </x:c>
      <x:c r="E15" s="12" t="n">
        <x:v>46262.33961805556</x:v>
      </x:c>
      <x:c r="F15" s="10" t="str">
        <x:v>Codex</x:v>
      </x:c>
      <x:c r="G15" s="10" t="str">
        <x:v>8c40df23a4995088cf88ea69bf809035f0c3de28</x:v>
      </x:c>
      <x:c r="H15" s="10" t="str">
        <x:v>git:codex/admin-workflow-completion@8c40df23a4995088cf88ea69bf809035f0c3de28</x:v>
      </x:c>
      <x:c r="I15" s="10" t="str">
        <x:v>ADM-M-013; AOA-001; AOA-002; AOA-004; AOA-005; AOA-006; AOA-008; AOA-009; AOA-010; AOA-011; AOA-014; AOA-015</x:v>
      </x:c>
      <x:c r="J15" s="10" t="str">
        <x:v>ADM-WF-017</x:v>
      </x:c>
      <x:c r="K15" s="10" t="str"/>
      <x:c r="L15" s="10" t="str">
        <x:v>Immutable implementation checkpoint for the Wave 0 registry, route contracts, service-role classification, migration validation, and baseline test repairs. This is implementation evidence, not CI, staging, or independent-verification evidence.</x:v>
      </x:c>
    </x:row>
    <x:row r="16" ht="46" customHeight="1">
      <x:c r="A16" s="10" t="str">
        <x:v>EVD-WAVE0-MIGRATIONS-LOCAL</x:v>
      </x:c>
      <x:c r="B16" s="10" t="str">
        <x:v>test_run</x:v>
      </x:c>
      <x:c r="C16" s="10" t="str">
        <x:v>pass</x:v>
      </x:c>
      <x:c r="D16" s="10" t="str">
        <x:v>local</x:v>
      </x:c>
      <x:c r="E16" s="12" t="n">
        <x:v>46262.339895833335</x:v>
      </x:c>
      <x:c r="F16" s="10" t="str">
        <x:v>Codex</x:v>
      </x:c>
      <x:c r="G16" s="10" t="str">
        <x:v>8c40df23a4995088cf88ea69bf809035f0c3de28</x:v>
      </x:c>
      <x:c r="H16" s="10" t="str">
        <x:v>/Users/kyledaley/.nvm/versions/node/v20.20.2/bin/node scripts/ci/check-migration-validation.mjs</x:v>
      </x:c>
      <x:c r="I16" s="10" t="str">
        <x:v>AOA-013; AOA-015</x:v>
      </x:c>
      <x:c r="J16" s="10" t="str">
        <x:v>ADM-WF-017</x:v>
      </x:c>
      <x:c r="K16" s="10" t="str"/>
      <x:c r="L16" s="10" t="str">
        <x:v>Repository migration scanner passed against immutable historical checksums and declared planned/isolated manifests. No migration was applied to a fresh or staging Supabase project, so parity and live provenance remain open.</x:v>
      </x:c>
    </x:row>
    <x:row r="17" ht="46" customHeight="1">
      <x:c r="A17" s="10" t="str">
        <x:v>EVD-WAVE0-ROUTE-REGISTRY-LOCAL</x:v>
      </x:c>
      <x:c r="B17" s="10" t="str">
        <x:v>test_run</x:v>
      </x:c>
      <x:c r="C17" s="10" t="str">
        <x:v>pass</x:v>
      </x:c>
      <x:c r="D17" s="10" t="str">
        <x:v>local</x:v>
      </x:c>
      <x:c r="E17" s="12" t="n">
        <x:v>46262.339895833335</x:v>
      </x:c>
      <x:c r="F17" s="10" t="str">
        <x:v>Codex</x:v>
      </x:c>
      <x:c r="G17" s="10" t="str">
        <x:v>8c40df23a4995088cf88ea69bf809035f0c3de28</x:v>
      </x:c>
      <x:c r="H17" s="10" t="str">
        <x:v>/Users/kyledaley/.nvm/versions/node/v20.20.2/bin/node scripts/ci/check-admin-route-registry.mjs</x:v>
      </x:c>
      <x:c r="I17" s="10" t="str">
        <x:v>ADM-M-013</x:v>
      </x:c>
      <x:c r="J17" s="10" t="str">
        <x:v>ADM-WF-017</x:v>
      </x:c>
      <x:c r="K17" s="10" t="str"/>
      <x:c r="L17" s="10" t="str">
        <x:v>Local route inventory passed with 288 Admin API route files and an exact 117/117 legacy ceiling. Runtime capability, tenant-denial, idempotency, and audit-event evidence remain incomplete.</x:v>
      </x:c>
    </x:row>
    <x:row r="18" ht="46" customHeight="1">
      <x:c r="A18" s="10" t="str">
        <x:v>EVD-WAVE0-SERVICE-ROLE-LOCAL</x:v>
      </x:c>
      <x:c r="B18" s="10" t="str">
        <x:v>test_run</x:v>
      </x:c>
      <x:c r="C18" s="10" t="str">
        <x:v>pass</x:v>
      </x:c>
      <x:c r="D18" s="10" t="str">
        <x:v>local</x:v>
      </x:c>
      <x:c r="E18" s="12" t="n">
        <x:v>46262.339895833335</x:v>
      </x:c>
      <x:c r="F18" s="10" t="str">
        <x:v>Codex</x:v>
      </x:c>
      <x:c r="G18" s="10" t="str">
        <x:v>8c40df23a4995088cf88ea69bf809035f0c3de28</x:v>
      </x:c>
      <x:c r="H18" s="10" t="str">
        <x:v>/Users/kyledaley/.nvm/versions/node/v20.20.2/bin/node scripts/ci/check-service-role-allowlist.mjs</x:v>
      </x:c>
      <x:c r="I18" s="10" t="str">
        <x:v>ADM-M-013</x:v>
      </x:c>
      <x:c r="J18" s="10" t="str">
        <x:v>ADM-WF-017; ADM-WF-019</x:v>
      </x:c>
      <x:c r="K18" s="10" t="str"/>
      <x:c r="L18" s="10" t="str">
        <x:v>Local classification gate passed for 168 production files: 144 historical entries, 23 reviewed remediation-debt entries, and 1 low-level factory. This does not close the underlying migration debt or prove live actor binding.</x:v>
      </x:c>
    </x:row>
    <x:row r="19" ht="46" customHeight="1">
      <x:c r="A19" s="10" t="str">
        <x:v>EVD-WAVE0-TYPECHECK-LOCAL-FAIL</x:v>
      </x:c>
      <x:c r="B19" s="10" t="str">
        <x:v>test_run</x:v>
      </x:c>
      <x:c r="C19" s="10" t="str">
        <x:v>fail</x:v>
      </x:c>
      <x:c r="D19" s="10" t="str">
        <x:v>local</x:v>
      </x:c>
      <x:c r="E19" s="12" t="n">
        <x:v>46262.33513888889</x:v>
      </x:c>
      <x:c r="F19" s="10" t="str">
        <x:v>Codex</x:v>
      </x:c>
      <x:c r="G19" s="10" t="str">
        <x:v>8c40df23a4995088cf88ea69bf809035f0c3de28</x:v>
      </x:c>
      <x:c r="H19" s="10" t="str">
        <x:v>/Users/kyledaley/.nvm/versions/node/v20.20.2/bin/node --max-old-space-size=8192 node_modules/typescript/bin/tsc --noEmit --pretty false --incremental false --diagnostics</x:v>
      </x:c>
      <x:c r="I19" s="10" t="str">
        <x:v>ADM-M-001; AOA-003</x:v>
      </x:c>
      <x:c r="J19" s="10" t="str">
        <x:v>ADM-WF-017</x:v>
      </x:c>
      <x:c r="K19" s="10" t="str"/>
      <x:c r="L19" s="10" t="str">
        <x:v>Pinned Node 20 full-repository typecheck exited 2 after 2,652.36 seconds. It checked 7,456 files, used about 6.3 GB, and reported type/schema drift across Admin and non-Admin code; the captured command output contained 3,005 lines. LG-01 remains not verified and the production build was not attempted.</x:v>
      </x:c>
    </x:row>
  </x:sheetData>
  <x:conditionalFormatting sqref="C2:C19">
    <x:cfRule type="containsText" dxfId="40" priority="1" operator="containsText" text="pass"/>
    <x:cfRule type="containsText" dxfId="4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06bcd261c3964b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0" hidden="0" customWidth="1"/>
    <x:col min="4" max="4" width="58" hidden="0" customWidth="1"/>
    <x:col min="5" max="5" width="52" hidden="0" customWidth="1"/>
    <x:col min="6" max="6" width="16" hidden="0" customWidth="1"/>
    <x:col min="7" max="7" width="28" hidden="0" customWidth="1"/>
  </x:cols>
  <x:sheetData>
    <x:row r="1" ht="30" customHeight="1">
      <x:c r="A1" s="9" t="str">
        <x:v>Decision ID</x:v>
      </x:c>
      <x:c r="B1" s="9" t="str">
        <x:v>Source alias</x:v>
      </x:c>
      <x:c r="C1" s="9" t="str">
        <x:v>Topic</x:v>
      </x:c>
      <x:c r="D1" s="9" t="str">
        <x:v>Decision</x:v>
      </x:c>
      <x:c r="E1" s="9" t="str">
        <x:v>Rationale</x:v>
      </x:c>
      <x:c r="F1" s="9" t="str">
        <x:v>Status</x:v>
      </x:c>
      <x:c r="G1" s="9" t="str">
        <x:v>Owner</x:v>
      </x:c>
    </x:row>
    <x:row r="2" ht="48" customHeight="1">
      <x:c r="A2" s="10" t="str">
        <x:v>ADM-DEC-001</x:v>
      </x:c>
      <x:c r="B2" s="10" t="str">
        <x:v>ADR-001</x:v>
      </x:c>
      <x:c r="C2" s="10" t="str">
        <x:v>Canonical event model</x:v>
      </x:c>
      <x:c r="D2" s="10" t="str">
        <x:v>events_v2 is canonical; legacy events receive a bounded one-way migration bridge and retirement plan.</x:v>
      </x:c>
      <x:c r="E2" s="10" t="str">
        <x:v>One event identity must serve provider, tour, calendar, Artist, and discovery consumers.</x:v>
      </x:c>
      <x:c r="F2" s="10" t="str">
        <x:v>accepted</x:v>
      </x:c>
      <x:c r="G2" s="10" t="str">
        <x:v>Tourify product and security</x:v>
      </x:c>
    </x:row>
    <x:row r="3" ht="48" customHeight="1">
      <x:c r="A3" s="10" t="str">
        <x:v>ADM-DEC-002</x:v>
      </x:c>
      <x:c r="B3" s="10" t="str">
        <x:v>ADR-004</x:v>
      </x:c>
      <x:c r="C3" s="10" t="str">
        <x:v>Finance launch scope</x:v>
      </x:c>
      <x:c r="D3" s="10" t="str">
        <x:v>Organization Admin finance is read-only at launch; mutation APIs are hidden and denied.</x:v>
      </x:c>
      <x:c r="E3" s="10" t="str">
        <x:v>The existing ledger is not a provider-backed money-movement system.</x:v>
      </x:c>
      <x:c r="F3" s="10" t="str">
        <x:v>accepted</x:v>
      </x:c>
      <x:c r="G3" s="10" t="str">
        <x:v>Tourify product and security</x:v>
      </x:c>
    </x:row>
    <x:row r="4" ht="48" customHeight="1">
      <x:c r="A4" s="10" t="str">
        <x:v>ADM-DEC-003</x:v>
      </x:c>
      <x:c r="B4" s="10" t="str">
        <x:v>ADR-005</x:v>
      </x:c>
      <x:c r="C4" s="10" t="str">
        <x:v>Contract launch scope</x:v>
      </x:c>
      <x:c r="D4" s="10" t="str">
        <x:v>Contracts support tracking, obligations, documents, and renewals only; no signing or unverified executed transition.</x:v>
      </x:c>
      <x:c r="E4" s="10" t="str">
        <x:v>Electronic execution requires a verified provider and legal/security acceptance.</x:v>
      </x:c>
      <x:c r="F4" s="10" t="str">
        <x:v>accepted</x:v>
      </x:c>
      <x:c r="G4" s="10" t="str">
        <x:v>Tourify product and security</x:v>
      </x:c>
    </x:row>
    <x:row r="5" ht="48" customHeight="1">
      <x:c r="A5" s="10" t="str">
        <x:v>ADM-DEC-004</x:v>
      </x:c>
      <x:c r="B5" s="10" t="str">
        <x:v>ADR-007</x:v>
      </x:c>
      <x:c r="C5" s="10" t="str">
        <x:v>Mobile launch scope</x:v>
      </x:c>
      <x:c r="D5" s="10" t="str">
        <x:v>Launch scope is responsive web at phone, tablet, and desktop sizes.</x:v>
      </x:c>
      <x:c r="E5" s="10" t="str">
        <x:v>Native Admin and Worker applications are deferred.</x:v>
      </x:c>
      <x:c r="F5" s="10" t="str">
        <x:v>accepted</x:v>
      </x:c>
      <x:c r="G5" s="10" t="str">
        <x:v>Tourify product and security</x:v>
      </x:c>
    </x:row>
    <x:row r="6" ht="48" customHeight="1">
      <x:c r="A6" s="10" t="str">
        <x:v>ADM-DEC-005</x:v>
      </x:c>
      <x:c r="B6" s="10" t="str">
        <x:v>ADR-008</x:v>
      </x:c>
      <x:c r="C6" s="10" t="str">
        <x:v>Provider tool scope</x:v>
      </x:c>
      <x:c r="D6" s="10" t="str">
        <x:v>Provider-administration tools are platform-internal only.</x:v>
      </x:c>
      <x:c r="E6" s="10" t="str">
        <x:v>Organization Admin roles must not inherit global provider authority.</x:v>
      </x:c>
      <x:c r="F6" s="10" t="str">
        <x:v>accepted</x:v>
      </x:c>
      <x:c r="G6" s="10" t="str">
        <x:v>Tourify product and security</x:v>
      </x:c>
    </x:row>
    <x:row r="7" ht="48" customHeight="1">
      <x:c r="A7" s="10" t="str">
        <x:v>ADM-DEC-006</x:v>
      </x:c>
      <x:c r="B7" s="10"/>
      <x:c r="C7" s="10" t="str">
        <x:v>Implementation baseline</x:v>
      </x:c>
      <x:c r="D7" s="10" t="str">
        <x:v>The checkpoint a043d35d on codex/admin-workflow-completion is the immutable baseline.</x:v>
      </x:c>
      <x:c r="E7" s="10" t="str">
        <x:v>It preserves the reviewed August 21 workspace without crediting unavailable remediation commits.</x:v>
      </x:c>
      <x:c r="F7" s="10" t="str">
        <x:v>accepted</x:v>
      </x:c>
      <x:c r="G7" s="10" t="str">
        <x:v>Tourify product and security</x:v>
      </x:c>
    </x:row>
    <x:row r="8" ht="48" customHeight="1">
      <x:c r="A8" s="10" t="str">
        <x:v>ADM-DEC-007</x:v>
      </x:c>
      <x:c r="B8" s="10"/>
      <x:c r="C8" s="10" t="str">
        <x:v>Verification environment</x:v>
      </x:c>
      <x:c r="D8" s="10" t="str">
        <x:v>Database and runtime verification use a dedicated non-production Supabase project or branch.</x:v>
      </x:c>
      <x:c r="E8" s="10" t="str">
        <x:v>Production and Tourify Demo must not be mutated for development verification.</x:v>
      </x:c>
      <x:c r="F8" s="10" t="str">
        <x:v>accepted</x:v>
      </x:c>
      <x:c r="G8" s="10" t="str">
        <x:v>Tourify product and security</x:v>
      </x:c>
    </x:row>
    <x:row r="9" ht="48" customHeight="1">
      <x:c r="A9" s="10" t="str">
        <x:v>ADM-DEC-008</x:v>
      </x:c>
      <x:c r="B9" s="10"/>
      <x:c r="C9" s="10" t="str">
        <x:v>Progress authority</x:v>
      </x:c>
      <x:c r="D9" s="10" t="str">
        <x:v>The repo-native JSON registry is authoritative; Markdown, CSV, dashboard, and workbook are generated views.</x:v>
      </x:c>
      <x:c r="E9" s="10" t="str">
        <x:v>This removes contradictory hand-edited ledgers.</x:v>
      </x:c>
      <x:c r="F9" s="10" t="str">
        <x:v>accepted</x:v>
      </x:c>
      <x:c r="G9" s="10" t="str">
        <x:v>Tourify product and security</x:v>
      </x:c>
    </x:row>
    <x:row r="10" ht="48" customHeight="1">
      <x:c r="A10" s="10" t="str">
        <x:v>ADM-DEC-009</x:v>
      </x:c>
      <x:c r="B10" s="10"/>
      <x:c r="C10" s="10" t="str">
        <x:v>Release approval</x:v>
      </x:c>
      <x:c r="D10" s="10" t="str">
        <x:v>Independent clean-context verification and human product/security sign-off are mandatory.</x:v>
      </x:c>
      <x:c r="E10" s="10" t="str">
        <x:v>Implementation-session claims alone cannot close a workflow or launch gate.</x:v>
      </x:c>
      <x:c r="F10" s="10" t="str">
        <x:v>accepted</x:v>
      </x:c>
      <x:c r="G10" s="10" t="str">
        <x:v>Tourify product and security</x:v>
      </x:c>
    </x:row>
  </x:sheetData>
  <x:conditionalFormatting sqref="F2:F10">
    <x:cfRule type="containsText" dxfId="42" priority="1" operator="containsText" text="done"/>
    <x:cfRule type="containsText" dxfId="43" priority="2" operator="containsText" text="implemented"/>
    <x:cfRule type="containsText" dxfId="44" priority="3" operator="containsText" text="ready_for_independent_verification"/>
    <x:cfRule type="containsText" dxfId="45" priority="4" operator="containsText" text="ready_for_staging"/>
    <x:cfRule type="containsText" dxfId="46" priority="5" operator="containsText" text="in_progress"/>
    <x:cfRule type="containsText" dxfId="47" priority="6" operator="containsText" text="reproduced"/>
    <x:cfRule type="containsText" dxfId="48" priority="7" operator="containsText" text="observed"/>
    <x:cfRule type="containsText" dxfId="49" priority="8" operator="containsText" text="not_verified"/>
    <x:cfRule type="containsText" dxfId="50" priority="9" operator="containsText" text="evidence_complete"/>
  </x:conditionalFormatting>
  <x:pageMargins left="0.7" right="0.7" top="0.75" bottom="0.75" header="0.3" footer="0.3"/>
  <x:tableParts count="1">
    <x:tablePart xmlns:r="http://schemas.openxmlformats.org/officeDocument/2006/relationships" r:id="R83b0dffc563e40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25" hidden="0" customWidth="1"/>
    <x:col min="3" max="3" width="16" hidden="0" customWidth="1"/>
    <x:col min="4" max="4" width="16" hidden="0" customWidth="1"/>
    <x:col min="5" max="5" width="25" hidden="0" customWidth="1"/>
    <x:col min="6" max="6" width="17" hidden="0" customWidth="1"/>
    <x:col min="7" max="7" width="62" hidden="0" customWidth="1"/>
  </x:cols>
  <x:sheetData>
    <x:row r="1" ht="30" customHeight="1">
      <x:c r="A1" s="9" t="str">
        <x:v>File</x:v>
      </x:c>
      <x:c r="B1" s="9" t="str">
        <x:v>Disposition</x:v>
      </x:c>
      <x:c r="C1" s="9" t="str">
        <x:v>Workflow</x:v>
      </x:c>
      <x:c r="D1" s="9" t="str">
        <x:v>Finding</x:v>
      </x:c>
      <x:c r="E1" s="9" t="str">
        <x:v>Owner</x:v>
      </x:c>
      <x:c r="F1" s="9" t="str">
        <x:v>Reviewed at</x:v>
      </x:c>
      <x:c r="G1" s="9" t="str">
        <x:v>Required remediation</x:v>
      </x:c>
    </x:row>
    <x:row r="2" ht="44" customHeight="1">
      <x:c r="A2" s="10" t="str">
        <x:v>app/api/accounts/check-slug/route.ts</x:v>
      </x:c>
      <x:c r="B2" s="10" t="str">
        <x:v>replace_with_rpc</x:v>
      </x:c>
      <x:c r="C2" s="10" t="str">
        <x:v>ADM-WF-018</x:v>
      </x:c>
      <x:c r="D2" s="10" t="str">
        <x:v>ADM-M-013</x:v>
      </x:c>
      <x:c r="E2" s="10" t="str">
        <x:v>identity-platform</x:v>
      </x:c>
      <x:c r="F2" s="13" t="n">
        <x:v>46261</x:v>
      </x:c>
      <x:c r="G2" s="10" t="str">
        <x:v>Slug availability needs a narrow authenticated lookup RPC instead of a general privileged client.</x:v>
      </x:c>
    </x:row>
    <x:row r="3" ht="44" customHeight="1">
      <x:c r="A3" s="10" t="str">
        <x:v>app/api/events/[id]/claim/route.ts</x:v>
      </x:c>
      <x:c r="B3" s="10" t="str">
        <x:v>replace_with_rpc</x:v>
      </x:c>
      <x:c r="C3" s="10" t="str">
        <x:v>ADM-WF-003</x:v>
      </x:c>
      <x:c r="D3" s="10" t="str">
        <x:v>ADM-M-004</x:v>
      </x:c>
      <x:c r="E3" s="10" t="str">
        <x:v>event-platform</x:v>
      </x:c>
      <x:c r="F3" s="13" t="n">
        <x:v>46261</x:v>
      </x:c>
      <x:c r="G3" s="10" t="str">
        <x:v>Claim creation and auto-verification must move to the canonical event command with actor binding.</x:v>
      </x:c>
    </x:row>
    <x:row r="4" ht="44" customHeight="1">
      <x:c r="A4" s="10" t="str">
        <x:v>app/api/events/[id]/tour/route.ts</x:v>
      </x:c>
      <x:c r="B4" s="10" t="str">
        <x:v>replace_with_rpc</x:v>
      </x:c>
      <x:c r="C4" s="10" t="str">
        <x:v>ADM-WF-005</x:v>
      </x:c>
      <x:c r="D4" s="10" t="str">
        <x:v>ADM-M-004</x:v>
      </x:c>
      <x:c r="E4" s="10" t="str">
        <x:v>tour-platform</x:v>
      </x:c>
      <x:c r="F4" s="13" t="n">
        <x:v>46261</x:v>
      </x:c>
      <x:c r="G4" s="10" t="str">
        <x:v>Legacy event-to-tour writes must be replaced by the canonical events_v2 assignment command.</x:v>
      </x:c>
    </x:row>
    <x:row r="5" ht="44" customHeight="1">
      <x:c r="A5" s="10" t="str">
        <x:v>app/api/groups/threads/[id]/messages/[messageId]/reactions/route.ts</x:v>
      </x:c>
      <x:c r="B5" s="10" t="str">
        <x:v>replace_with_user_rls</x:v>
      </x:c>
      <x:c r="C5" s="10" t="str">
        <x:v>ADM-WF-011</x:v>
      </x:c>
      <x:c r="D5" s="10" t="str">
        <x:v>ADM-M-013</x:v>
      </x:c>
      <x:c r="E5" s="10" t="str">
        <x:v>communications</x:v>
      </x:c>
      <x:c r="F5" s="13" t="n">
        <x:v>46261</x:v>
      </x:c>
      <x:c r="G5" s="10" t="str">
        <x:v>Reaction writes should run as the authenticated member so thread membership RLS remains authoritative.</x:v>
      </x:c>
    </x:row>
    <x:row r="6" ht="44" customHeight="1">
      <x:c r="A6" s="10" t="str">
        <x:v>app/api/marketplace/admin/fee-rules/route.ts</x:v>
      </x:c>
      <x:c r="B6" s="10" t="str">
        <x:v>migrate_to_job</x:v>
      </x:c>
      <x:c r="C6" s="10" t="str">
        <x:v>ADM-WF-020</x:v>
      </x:c>
      <x:c r="D6" s="10" t="str">
        <x:v>ADM-M-013</x:v>
      </x:c>
      <x:c r="E6" s="10" t="str">
        <x:v>marketplace-platform</x:v>
      </x:c>
      <x:c r="F6" s="13" t="n">
        <x:v>46261</x:v>
      </x:c>
      <x:c r="G6" s="10" t="str">
        <x:v>Platform fee administration requires a named internal module, audit events, and bounded authority.</x:v>
      </x:c>
    </x:row>
    <x:row r="7" ht="44" customHeight="1">
      <x:c r="A7" s="10" t="str">
        <x:v>app/api/marketplace/admin/moderation/route.ts</x:v>
      </x:c>
      <x:c r="B7" s="10" t="str">
        <x:v>migrate_to_job</x:v>
      </x:c>
      <x:c r="C7" s="10" t="str">
        <x:v>ADM-WF-020</x:v>
      </x:c>
      <x:c r="D7" s="10" t="str">
        <x:v>ADM-M-013</x:v>
      </x:c>
      <x:c r="E7" s="10" t="str">
        <x:v>marketplace-platform</x:v>
      </x:c>
      <x:c r="F7" s="13" t="n">
        <x:v>46261</x:v>
      </x:c>
      <x:c r="G7" s="10" t="str">
        <x:v>Marketplace moderation is platform-internal and needs a reviewed module with explicit actor attribution.</x:v>
      </x:c>
    </x:row>
    <x:row r="8" ht="44" customHeight="1">
      <x:c r="A8" s="10" t="str">
        <x:v>app/api/marketplace/admin/overview/route.ts</x:v>
      </x:c>
      <x:c r="B8" s="10" t="str">
        <x:v>migrate_to_job</x:v>
      </x:c>
      <x:c r="C8" s="10" t="str">
        <x:v>ADM-WF-020</x:v>
      </x:c>
      <x:c r="D8" s="10" t="str">
        <x:v>ADM-M-013</x:v>
      </x:c>
      <x:c r="E8" s="10" t="str">
        <x:v>marketplace-platform</x:v>
      </x:c>
      <x:c r="F8" s="13" t="n">
        <x:v>46261</x:v>
      </x:c>
      <x:c r="G8" s="10" t="str">
        <x:v>The internal marketplace overview must use a bounded read module instead of a bare privileged client.</x:v>
      </x:c>
    </x:row>
    <x:row r="9" ht="44" customHeight="1">
      <x:c r="A9" s="10" t="str">
        <x:v>app/api/marketplace/admin/webhook-events/route.ts</x:v>
      </x:c>
      <x:c r="B9" s="10" t="str">
        <x:v>migrate_to_job</x:v>
      </x:c>
      <x:c r="C9" s="10" t="str">
        <x:v>ADM-WF-020</x:v>
      </x:c>
      <x:c r="D9" s="10" t="str">
        <x:v>ADM-M-013</x:v>
      </x:c>
      <x:c r="E9" s="10" t="str">
        <x:v>marketplace-platform</x:v>
      </x:c>
      <x:c r="F9" s="13" t="n">
        <x:v>46261</x:v>
      </x:c>
      <x:c r="G9" s="10" t="str">
        <x:v>Webhook replay and inspection require an internal reviewed job with idempotency and audit evidence.</x:v>
      </x:c>
    </x:row>
    <x:row r="10" ht="44" customHeight="1">
      <x:c r="A10" s="10" t="str">
        <x:v>app/api/marketplace/checkout/route.ts</x:v>
      </x:c>
      <x:c r="B10" s="10" t="str">
        <x:v>migrate_to_job</x:v>
      </x:c>
      <x:c r="C10" s="10" t="str">
        <x:v>ADM-WF-020</x:v>
      </x:c>
      <x:c r="D10" s="10" t="str">
        <x:v>ADM-M-013</x:v>
      </x:c>
      <x:c r="E10" s="10" t="str">
        <x:v>marketplace-platform</x:v>
      </x:c>
      <x:c r="F10" s="13" t="n">
        <x:v>46261</x:v>
      </x:c>
      <x:c r="G10" s="10" t="str">
        <x:v>Checkout orchestration needs a named transactional module with target validation and durable idempotency.</x:v>
      </x:c>
    </x:row>
    <x:row r="11" ht="44" customHeight="1">
      <x:c r="A11" s="10" t="str">
        <x:v>app/api/marketplace/order/[token]/claim/route.ts</x:v>
      </x:c>
      <x:c r="B11" s="10" t="str">
        <x:v>replace_with_rpc</x:v>
      </x:c>
      <x:c r="C11" s="10" t="str">
        <x:v>ADM-WF-020</x:v>
      </x:c>
      <x:c r="D11" s="10" t="str">
        <x:v>ADM-M-013</x:v>
      </x:c>
      <x:c r="E11" s="10" t="str">
        <x:v>marketplace-platform</x:v>
      </x:c>
      <x:c r="F11" s="13" t="n">
        <x:v>46261</x:v>
      </x:c>
      <x:c r="G11" s="10" t="str">
        <x:v>Token claim must be an atomic token-bound RPC that cannot expose or mutate unrelated orders.</x:v>
      </x:c>
    </x:row>
    <x:row r="12" ht="44" customHeight="1">
      <x:c r="A12" s="10" t="str">
        <x:v>app/api/marketplace/order/[token]/route.ts</x:v>
      </x:c>
      <x:c r="B12" s="10" t="str">
        <x:v>replace_with_rpc</x:v>
      </x:c>
      <x:c r="C12" s="10" t="str">
        <x:v>ADM-WF-020</x:v>
      </x:c>
      <x:c r="D12" s="10" t="str">
        <x:v>ADM-M-013</x:v>
      </x:c>
      <x:c r="E12" s="10" t="str">
        <x:v>marketplace-platform</x:v>
      </x:c>
      <x:c r="F12" s="13" t="n">
        <x:v>46261</x:v>
      </x:c>
      <x:c r="G12" s="10" t="str">
        <x:v>Public order lookup needs a minimal token-bound projection rather than unrestricted table access.</x:v>
      </x:c>
    </x:row>
    <x:row r="13" ht="44" customHeight="1">
      <x:c r="A13" s="10" t="str">
        <x:v>app/api/ticketing/events/[eventId]/invites/[inviteId]/[action]/route.ts</x:v>
      </x:c>
      <x:c r="B13" s="10" t="str">
        <x:v>replace_with_rpc</x:v>
      </x:c>
      <x:c r="C13" s="10" t="str">
        <x:v>ADM-WF-019</x:v>
      </x:c>
      <x:c r="D13" s="10" t="str">
        <x:v>ADM-M-013</x:v>
      </x:c>
      <x:c r="E13" s="10" t="str">
        <x:v>ticketing</x:v>
      </x:c>
      <x:c r="F13" s="13" t="n">
        <x:v>46261</x:v>
      </x:c>
      <x:c r="G13" s="10" t="str">
        <x:v>Invite lifecycle actions should be actor-bound transactional commands with event organization checks.</x:v>
      </x:c>
    </x:row>
    <x:row r="14" ht="44" customHeight="1">
      <x:c r="A14" s="10" t="str">
        <x:v>app/api/ticketing/events/[eventId]/sales-orders/route.ts</x:v>
      </x:c>
      <x:c r="B14" s="10" t="str">
        <x:v>migrate_to_job</x:v>
      </x:c>
      <x:c r="C14" s="10" t="str">
        <x:v>ADM-WF-019</x:v>
      </x:c>
      <x:c r="D14" s="10" t="str">
        <x:v>ADM-M-013</x:v>
      </x:c>
      <x:c r="E14" s="10" t="str">
        <x:v>ticketing</x:v>
      </x:c>
      <x:c r="F14" s="13" t="n">
        <x:v>46261</x:v>
      </x:c>
      <x:c r="G14" s="10" t="str">
        <x:v>Sales-order commands need a named ticketing module with verified event scope and audit attribution.</x:v>
      </x:c>
    </x:row>
    <x:row r="15" ht="44" customHeight="1">
      <x:c r="A15" s="10" t="str">
        <x:v>app/api/tours/invitations/[token]/route.ts</x:v>
      </x:c>
      <x:c r="B15" s="10" t="str">
        <x:v>replace_with_rpc</x:v>
      </x:c>
      <x:c r="C15" s="10" t="str">
        <x:v>ADM-WF-005</x:v>
      </x:c>
      <x:c r="D15" s="10" t="str">
        <x:v>ADM-M-013</x:v>
      </x:c>
      <x:c r="E15" s="10" t="str">
        <x:v>tour-platform</x:v>
      </x:c>
      <x:c r="F15" s="13" t="n">
        <x:v>46261</x:v>
      </x:c>
      <x:c r="G15" s="10" t="str">
        <x:v>Invitation preview and expiration need token-bound projections while acceptance stays actor-bound.</x:v>
      </x:c>
    </x:row>
    <x:row r="16" ht="44" customHeight="1">
      <x:c r="A16" s="10" t="str">
        <x:v>app/api/venue/equipment/route.ts</x:v>
      </x:c>
      <x:c r="B16" s="10" t="str">
        <x:v>replace_with_user_rls</x:v>
      </x:c>
      <x:c r="C16" s="10" t="str">
        <x:v>ADM-WF-010</x:v>
      </x:c>
      <x:c r="D16" s="10" t="str">
        <x:v>ADM-M-013</x:v>
      </x:c>
      <x:c r="E16" s="10" t="str">
        <x:v>venue-operations</x:v>
      </x:c>
      <x:c r="F16" s="13" t="n">
        <x:v>46261</x:v>
      </x:c>
      <x:c r="G16" s="10" t="str">
        <x:v>Venue equipment reads and writes should execute as the authenticated venue member under RLS.</x:v>
      </x:c>
    </x:row>
    <x:row r="17" ht="44" customHeight="1">
      <x:c r="A17" s="10" t="str">
        <x:v>app/api/venue/finances/route.ts</x:v>
      </x:c>
      <x:c r="B17" s="10" t="str">
        <x:v>replace_with_user_rls</x:v>
      </x:c>
      <x:c r="C17" s="10" t="str">
        <x:v>ADM-WF-014</x:v>
      </x:c>
      <x:c r="D17" s="10" t="str">
        <x:v>ADM-M-032</x:v>
      </x:c>
      <x:c r="E17" s="10" t="str">
        <x:v>finance</x:v>
      </x:c>
      <x:c r="F17" s="13" t="n">
        <x:v>46261</x:v>
      </x:c>
      <x:c r="G17" s="10" t="str">
        <x:v>Venue finance must become read-only for organization users and use authenticated scoped reads.</x:v>
      </x:c>
    </x:row>
    <x:row r="18" ht="44" customHeight="1">
      <x:c r="A18" s="10" t="str">
        <x:v>app/api/venue/shifts/requests/route.ts</x:v>
      </x:c>
      <x:c r="B18" s="10" t="str">
        <x:v>replace_with_user_rls</x:v>
      </x:c>
      <x:c r="C18" s="10" t="str">
        <x:v>ADM-WF-008</x:v>
      </x:c>
      <x:c r="D18" s="10" t="str">
        <x:v>ADM-M-013</x:v>
      </x:c>
      <x:c r="E18" s="10" t="str">
        <x:v>workforce</x:v>
      </x:c>
      <x:c r="F18" s="13" t="n">
        <x:v>46261</x:v>
      </x:c>
      <x:c r="G18" s="10" t="str">
        <x:v>Shift request decisions must preserve the authenticated venue actor and tenant RLS boundary.</x:v>
      </x:c>
    </x:row>
    <x:row r="19" ht="44" customHeight="1">
      <x:c r="A19" s="10" t="str">
        <x:v>app/api/venue/shifts/swaps/route.ts</x:v>
      </x:c>
      <x:c r="B19" s="10" t="str">
        <x:v>replace_with_user_rls</x:v>
      </x:c>
      <x:c r="C19" s="10" t="str">
        <x:v>ADM-WF-008</x:v>
      </x:c>
      <x:c r="D19" s="10" t="str">
        <x:v>ADM-M-013</x:v>
      </x:c>
      <x:c r="E19" s="10" t="str">
        <x:v>workforce</x:v>
      </x:c>
      <x:c r="F19" s="13" t="n">
        <x:v>46261</x:v>
      </x:c>
      <x:c r="G19" s="10" t="str">
        <x:v>Shift swap operations should use authenticated membership policies and validated state transitions.</x:v>
      </x:c>
    </x:row>
    <x:row r="20" ht="44" customHeight="1">
      <x:c r="A20" s="10" t="str">
        <x:v>app/api/venues/[id]/reviews/route.ts</x:v>
      </x:c>
      <x:c r="B20" s="10" t="str">
        <x:v>replace_with_user_rls</x:v>
      </x:c>
      <x:c r="C20" s="10" t="str">
        <x:v>ADM-WF-010</x:v>
      </x:c>
      <x:c r="D20" s="10" t="str">
        <x:v>ADM-M-008</x:v>
      </x:c>
      <x:c r="E20" s="10" t="str">
        <x:v>venue-platform</x:v>
      </x:c>
      <x:c r="F20" s="13" t="n">
        <x:v>46261</x:v>
      </x:c>
      <x:c r="G20" s="10" t="str">
        <x:v>Review reads and writes should use public or authenticated policies without privileged global access.</x:v>
      </x:c>
    </x:row>
    <x:row r="21" ht="44" customHeight="1">
      <x:c r="A21" s="10" t="str">
        <x:v>app/api/workforce/requests/notify/route.ts</x:v>
      </x:c>
      <x:c r="B21" s="10" t="str">
        <x:v>migrate_to_job</x:v>
      </x:c>
      <x:c r="C21" s="10" t="str">
        <x:v>ADM-WF-012</x:v>
      </x:c>
      <x:c r="D21" s="10" t="str">
        <x:v>ADM-M-063</x:v>
      </x:c>
      <x:c r="E21" s="10" t="str">
        <x:v>workforce-delivery</x:v>
      </x:c>
      <x:c r="F21" s="13" t="n">
        <x:v>46261</x:v>
      </x:c>
      <x:c r="G21" s="10" t="str">
        <x:v>Workforce notifications require a named delivery job with recipient validation and retry evidence.</x:v>
      </x:c>
    </x:row>
    <x:row r="22" ht="44" customHeight="1">
      <x:c r="A22" s="10" t="str">
        <x:v>app/marketplace/order/[token]/page.tsx</x:v>
      </x:c>
      <x:c r="B22" s="10" t="str">
        <x:v>replace_with_rpc</x:v>
      </x:c>
      <x:c r="C22" s="10" t="str">
        <x:v>ADM-WF-020</x:v>
      </x:c>
      <x:c r="D22" s="10" t="str">
        <x:v>ADM-M-013</x:v>
      </x:c>
      <x:c r="E22" s="10" t="str">
        <x:v>marketplace-platform</x:v>
      </x:c>
      <x:c r="F22" s="13" t="n">
        <x:v>46261</x:v>
      </x:c>
      <x:c r="G22" s="10" t="str">
        <x:v>The public order page needs a minimal token projection and must not instantiate a privileged client.</x:v>
      </x:c>
    </x:row>
    <x:row r="23" ht="44" customHeight="1">
      <x:c r="A23" s="10" t="str">
        <x:v>lib/rebuild/workforce-activity-notify.ts</x:v>
      </x:c>
      <x:c r="B23" s="10" t="str">
        <x:v>migrate_to_job</x:v>
      </x:c>
      <x:c r="C23" s="10" t="str">
        <x:v>ADM-WF-012</x:v>
      </x:c>
      <x:c r="D23" s="10" t="str">
        <x:v>ADM-M-063</x:v>
      </x:c>
      <x:c r="E23" s="10" t="str">
        <x:v>workforce-delivery</x:v>
      </x:c>
      <x:c r="F23" s="13" t="n">
        <x:v>46261</x:v>
      </x:c>
      <x:c r="G23" s="10" t="str">
        <x:v>Activity delivery must run as a named outbox job with organization scope and bounded retries.</x:v>
      </x:c>
    </x:row>
    <x:row r="24" ht="44" customHeight="1">
      <x:c r="A24" s="10" t="str">
        <x:v>lib/ticketing/guest-list.server.ts</x:v>
      </x:c>
      <x:c r="B24" s="10" t="str">
        <x:v>migrate_to_job</x:v>
      </x:c>
      <x:c r="C24" s="10" t="str">
        <x:v>ADM-WF-019</x:v>
      </x:c>
      <x:c r="D24" s="10" t="str">
        <x:v>ADM-M-013</x:v>
      </x:c>
      <x:c r="E24" s="10" t="str">
        <x:v>ticketing</x:v>
      </x:c>
      <x:c r="F24" s="13" t="n">
        <x:v>46261</x:v>
      </x:c>
      <x:c r="G24" s="10" t="str">
        <x:v>Guest-list administration needs reviewed ticketing commands with event scope and actor attribution.</x:v>
      </x:c>
    </x:row>
  </x:sheetData>
  <x:conditionalFormatting sqref="B2:B24">
    <x:cfRule type="containsText" dxfId="51" priority="1" operator="containsText" text="migrate_to_job"/>
    <x:cfRule type="containsText" dxfId="52" priority="2" operator="containsText" text="replace_with_rpc"/>
    <x:cfRule type="containsText" dxfId="53" priority="3" operator="containsText" text="replace_with_user_rls"/>
  </x:conditionalFormatting>
  <x:pageMargins left="0.7" right="0.7" top="0.75" bottom="0.75" header="0.3" footer="0.3"/>
  <x:tableParts count="1">
    <x:tablePart xmlns:r="http://schemas.openxmlformats.org/officeDocument/2006/relationships" r:id="Rb45f92ea9af540bf"/>
  </x:tableParts>
</x:worksheet>
</file>