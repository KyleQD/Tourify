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b882007d854a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78bfb671f6c4d89"/>
    <x:sheet xmlns:r="http://schemas.openxmlformats.org/officeDocument/2006/relationships" name="Execution Batches" sheetId="2" r:id="R628f2df8d497457f"/>
    <x:sheet xmlns:r="http://schemas.openxmlformats.org/officeDocument/2006/relationships" name="Findings" sheetId="3" r:id="Rd5ebb690afb14edd"/>
    <x:sheet xmlns:r="http://schemas.openxmlformats.org/officeDocument/2006/relationships" name="Workflows" sheetId="4" r:id="R31f340ef18c9484c"/>
    <x:sheet xmlns:r="http://schemas.openxmlformats.org/officeDocument/2006/relationships" name="Spec Tasks" sheetId="5" r:id="R64f503857a4749cc"/>
    <x:sheet xmlns:r="http://schemas.openxmlformats.org/officeDocument/2006/relationships" name="Launch Gates" sheetId="6" r:id="R3c2adf6a34684b22"/>
    <x:sheet xmlns:r="http://schemas.openxmlformats.org/officeDocument/2006/relationships" name="Risks" sheetId="7" r:id="Rf2cb2c87e7af443b"/>
    <x:sheet xmlns:r="http://schemas.openxmlformats.org/officeDocument/2006/relationships" name="Evidence" sheetId="8" r:id="R25d5583dbd5e4f5d"/>
    <x:sheet xmlns:r="http://schemas.openxmlformats.org/officeDocument/2006/relationships" name="Decisions" sheetId="9" r:id="R41df445cd64e42ab"/>
    <x:sheet xmlns:r="http://schemas.openxmlformats.org/officeDocument/2006/relationships" name="Service Role Debt" sheetId="10" r:id="Rf92cbb486c904e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b7655bc2fa4451" /><Relationship Type="http://schemas.openxmlformats.org/officeDocument/2006/relationships/theme" Target="/xl/theme/theme1.xml" Id="Re7aa449383384d36" /><Relationship Type="http://schemas.openxmlformats.org/officeDocument/2006/relationships/sharedStrings" Target="/xl/sharedStrings.xml" Id="Rb071050a939843d2" /><Relationship Type="http://schemas.openxmlformats.org/officeDocument/2006/relationships/worksheet" Target="/xl/worksheets/sheet1.xml" Id="R078bfb671f6c4d89" /><Relationship Type="http://schemas.openxmlformats.org/officeDocument/2006/relationships/worksheet" Target="/xl/worksheets/sheet2.xml" Id="R628f2df8d497457f" /><Relationship Type="http://schemas.openxmlformats.org/officeDocument/2006/relationships/worksheet" Target="/xl/worksheets/sheet3.xml" Id="Rd5ebb690afb14edd" /><Relationship Type="http://schemas.openxmlformats.org/officeDocument/2006/relationships/worksheet" Target="/xl/worksheets/sheet4.xml" Id="R31f340ef18c9484c" /><Relationship Type="http://schemas.openxmlformats.org/officeDocument/2006/relationships/worksheet" Target="/xl/worksheets/sheet5.xml" Id="R64f503857a4749cc" /><Relationship Type="http://schemas.openxmlformats.org/officeDocument/2006/relationships/worksheet" Target="/xl/worksheets/sheet6.xml" Id="R3c2adf6a34684b22" /><Relationship Type="http://schemas.openxmlformats.org/officeDocument/2006/relationships/worksheet" Target="/xl/worksheets/sheet7.xml" Id="Rf2cb2c87e7af443b" /><Relationship Type="http://schemas.openxmlformats.org/officeDocument/2006/relationships/worksheet" Target="/xl/worksheets/sheet8.xml" Id="R25d5583dbd5e4f5d" /><Relationship Type="http://schemas.openxmlformats.org/officeDocument/2006/relationships/worksheet" Target="/xl/worksheets/sheet9.xml" Id="R41df445cd64e42ab" /><Relationship Type="http://schemas.openxmlformats.org/officeDocument/2006/relationships/worksheet" Target="/xl/worksheets/sheet10.xml" Id="Rf92cbb486c904e60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21" headerRowCount="1" totalsRowCount="0" totalsRowShown="0">
  <x:autoFilter ref="A1:L21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10" headerRowCount="1" totalsRowCount="0" totalsRowShown="0">
  <x:autoFilter ref="A1:G1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24" headerRowCount="1" totalsRowCount="0" totalsRowShown="0">
  <x:autoFilter ref="A1:G24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c75372011d4bbd" /><Relationship Type="http://schemas.openxmlformats.org/officeDocument/2006/relationships/table" Target="/xl/tables/table2.xml" Id="R6911a5a319114a1a" /><Relationship Type="http://schemas.openxmlformats.org/officeDocument/2006/relationships/table" Target="/xl/tables/table3.xml" Id="R74deb131badd49a0" /><Relationship Type="http://schemas.openxmlformats.org/officeDocument/2006/relationships/table" Target="/xl/tables/table4.xml" Id="Ra2b0d41b792844da" /><Relationship Type="http://schemas.openxmlformats.org/officeDocument/2006/relationships/table" Target="/xl/tables/table5.xml" Id="R033e2329a7d94d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e6f6b6b0786749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24f41df53d2a46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1757bf296c534d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7201b4a799ac41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fb211fa9be59408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9bf3e3956e5f4db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d141d00dc7a5471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51561d64af814f8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804f6eebcd914ba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9065506f6351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COUNTIF('Evidence'!$C$2:$C$21,"pass")</x:f>
        <x:v>18</x:v>
      </x:c>
      <x:c r="F9" s="95"/>
      <x:c r="G9" s="110" t="n">
        <x:f>COUNTA('Service Role Debt'!$A$2:$A$24)</x:f>
        <x:v>23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Debt'!$B$2:$B$24,I21)</x:f>
        <x:v>9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Debt'!$B$2:$B$24,I22)</x:f>
        <x:v>6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Debt'!$B$2:$B$24,I23)</x:f>
        <x:v>8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Debt'!$B$2:$B$24,I24)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edc75372011d4bbd"/>
    <x:tablePart xmlns:r="http://schemas.openxmlformats.org/officeDocument/2006/relationships" r:id="R6911a5a319114a1a"/>
    <x:tablePart xmlns:r="http://schemas.openxmlformats.org/officeDocument/2006/relationships" r:id="R74deb131badd49a0"/>
    <x:tablePart xmlns:r="http://schemas.openxmlformats.org/officeDocument/2006/relationships" r:id="Ra2b0d41b792844da"/>
    <x:tablePart xmlns:r="http://schemas.openxmlformats.org/officeDocument/2006/relationships" r:id="R033e2329a7d94d0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e6f6b6b07867492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</x:v>
      </x:c>
      <x:c r="M11" s="10" t="str">
        <x:v>EVD-SEC104-LOGISTICS-DDL-LOCAL-FAIL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24f41df53d2a467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1757bf296c534d2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7201b4a799ac412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fb211fa9be59408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9bf3e3956e5f4db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EVD-B00-EXECUTION-CONTROL-COMMIT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46270.88297453704</x:v>
      </x:c>
      <x:c r="F2" s="10" t="str">
        <x:v>Codex implementation session</x:v>
      </x:c>
      <x:c r="G2" s="10" t="str">
        <x:v>59d951c0e1bc2a67b7cc0289ffabb7dc1ee1644d</x:v>
      </x:c>
      <x:c r="H2" s="10" t="str">
        <x:v>git commit 59d951c0e1bc2a67b7cc0289ffabb7dc1ee1644d</x:v>
      </x:c>
      <x:c r="I2" s="10" t="str">
        <x:v>AOA-001; AOA-002; AOA-004; AOA-005; AOA-006; AOA-008; AOA-009; AOA-010; AOA-011; AOA-014</x:v>
      </x:c>
      <x:c r="J2" s="10" t="str">
        <x:v>ADM-WF-017</x:v>
      </x:c>
      <x:c r="K2" s="10" t="str"/>
      <x:c r="L2" s="10" t="str">
        <x:v>Immutable implementation checkpoint for the token-efficient Admin execution control plane. The earlier site-map WIP checkpoint receives no completion credit.</x:v>
      </x:c>
    </x:row>
    <x:row r="3" ht="46" customHeight="1">
      <x:c r="A3" s="10" t="str">
        <x:v>EVD-B00-EXECUTION-CONTROL-LOCAL</x:v>
      </x:c>
      <x:c r="B3" s="10" t="str">
        <x:v>test_run</x:v>
      </x:c>
      <x:c r="C3" s="10" t="str">
        <x:v>pass</x:v>
      </x:c>
      <x:c r="D3" s="10" t="str">
        <x:v>local</x:v>
      </x:c>
      <x:c r="E3" s="12" t="n">
        <x:v>46270.88297453704</x:v>
      </x:c>
      <x:c r="F3" s="10" t="str">
        <x:v>Codex implementation session</x:v>
      </x:c>
      <x:c r="G3" s="10" t="str">
        <x:v>59d951c0e1bc2a67b7cc0289ffabb7dc1ee1644d</x:v>
      </x:c>
      <x:c r="H3" s="10" t="str">
        <x:v>audit-artifacts/admin-execution/ADM-B00/01.log</x:v>
      </x:c>
      <x:c r="I3" s="10" t="str">
        <x:v>AOA-001; AOA-002; AOA-004; AOA-005; AOA-006; AOA-008; AOA-009; AOA-010; AOA-011; AOA-014</x:v>
      </x:c>
      <x:c r="J3" s="10" t="str">
        <x:v>ADM-WF-017</x:v>
      </x:c>
      <x:c r="K3" s="10" t="str">
        <x:v>LG-04</x:v>
      </x:c>
      <x:c r="L3" s="10" t="str">
        <x:v>Focused ADM-B00 validation passed. Exact coverage is 79 findings, 362 specification tasks, 20 workflow completions, and 15 execution batches; every generated context pack is within 32 KiB.</x:v>
      </x:c>
    </x:row>
    <x:row r="4" ht="46" customHeight="1">
      <x:c r="A4" s="10" t="str">
        <x:v>EVD-BASELINE-CHECKPOINT</x:v>
      </x:c>
      <x:c r="B4" s="10" t="str">
        <x:v>commit</x:v>
      </x:c>
      <x:c r="C4" s="10" t="str">
        <x:v>pass</x:v>
      </x:c>
      <x:c r="D4" s="10" t="str">
        <x:v>local</x:v>
      </x:c>
      <x:c r="E4" s="12" t="n">
        <x:v>46261.39236111111</x:v>
      </x:c>
      <x:c r="F4" s="10" t="str">
        <x:v>Codex</x:v>
      </x:c>
      <x:c r="G4" s="10" t="str">
        <x:v>a043d35d4304cc8181078a17e2138c1f47baf199</x:v>
      </x:c>
      <x:c r="H4" s="10" t="str">
        <x:v>git:codex/admin-workflow-completion@a043d35d4304cc8181078a17e2138c1f47baf199</x:v>
      </x:c>
      <x:c r="I4" s="10" t="str">
        <x:v>AOA-002; AOA-015</x:v>
      </x:c>
      <x:c r="J4" s="10" t="str">
        <x:v>ADM-WF-017</x:v>
      </x:c>
      <x:c r="K4" s="10" t="str"/>
      <x:c r="L4" s="10" t="str">
        <x:v>Immutable checkpoint of the 138-path August 21 workspace baseline. Human inventory sign-off remains a separate release control.</x:v>
      </x:c>
    </x:row>
    <x:row r="5" ht="46" customHeight="1">
      <x:c r="A5" s="10" t="str">
        <x:v>EVD-SEC104-LOGISTICS-DDL-LOCAL-FAIL</x:v>
      </x:c>
      <x:c r="B5" s="10" t="str">
        <x:v>test_run</x:v>
      </x:c>
      <x:c r="C5" s="10" t="str">
        <x:v>fail</x:v>
      </x:c>
      <x:c r="D5" s="10" t="str">
        <x:v>local</x:v>
      </x:c>
      <x:c r="E5" s="12" t="n">
        <x:v>46268.959027777775</x:v>
      </x:c>
      <x:c r="F5" s="10" t="str">
        <x:v>Codex</x:v>
      </x:c>
      <x:c r="G5" s="10" t="str">
        <x:v>7630a37ef395e147198a169e94fa888d2f3c7b19</x:v>
      </x:c>
      <x:c r="H5" s="10" t="str">
        <x:v>npx vitest run __tests__/logistics/logistics-route-contract.test.ts</x:v>
      </x:c>
      <x:c r="I5" s="10" t="str">
        <x:v>ADM-M-010</x:v>
      </x:c>
      <x:c r="J5" s="10" t="str">
        <x:v>ADM-WF-013; ADM-WF-017</x:v>
      </x:c>
      <x:c r="K5" s="10" t="str"/>
      <x:c r="L5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6" ht="46" customHeight="1">
      <x:c r="A6" s="10" t="str">
        <x:v>EVD-SEC104-SITEMAP-ACTING-COMMIT</x:v>
      </x:c>
      <x:c r="B6" s="10" t="str">
        <x:v>commit</x:v>
      </x:c>
      <x:c r="C6" s="10" t="str">
        <x:v>pass</x:v>
      </x:c>
      <x:c r="D6" s="10" t="str">
        <x:v>local</x:v>
      </x:c>
      <x:c r="E6" s="12" t="n">
        <x:v>46262.35711805556</x:v>
      </x:c>
      <x:c r="F6" s="10" t="str">
        <x:v>Codex</x:v>
      </x:c>
      <x:c r="G6" s="10" t="str">
        <x:v>abcf56c864b402f5cd85ecbeea618c8fa7edf89e</x:v>
      </x:c>
      <x:c r="H6" s="10" t="str">
        <x:v>git:codex/admin-workflow-completion@abcf56c864b402f5cd85ecbeea618c8fa7edf89e</x:v>
      </x:c>
      <x:c r="I6" s="10" t="str">
        <x:v>ADM-M-013; ADM-M-019</x:v>
      </x:c>
      <x:c r="J6" s="10" t="str">
        <x:v>ADM-WF-013; ADM-WF-017</x:v>
      </x:c>
      <x:c r="K6" s="10" t="str"/>
      <x:c r="L6" s="10" t="str">
        <x:v>Immutable SEC-104 checkpoint binding linked site maps to the acting organization and replacing the generic activity writer with validated, actor-bound commands.</x:v>
      </x:c>
    </x:row>
    <x:row r="7" ht="46" customHeight="1">
      <x:c r="A7" s="10" t="str">
        <x:v>EVD-SEC104-SITEMAP-ACTING-LOCAL</x:v>
      </x:c>
      <x:c r="B7" s="10" t="str">
        <x:v>test_run</x:v>
      </x:c>
      <x:c r="C7" s="10" t="str">
        <x:v>pass</x:v>
      </x:c>
      <x:c r="D7" s="10" t="str">
        <x:v>local</x:v>
      </x:c>
      <x:c r="E7" s="12" t="n">
        <x:v>46262.35711805556</x:v>
      </x:c>
      <x:c r="F7" s="10" t="str">
        <x:v>Codex</x:v>
      </x:c>
      <x:c r="G7" s="10" t="str">
        <x:v>abcf56c864b402f5cd85ecbeea618c8fa7edf89e</x:v>
      </x:c>
      <x:c r="H7" s="10" t="str">
        <x:v>Node 20 route registry, focused active-org/tamper/actor-binding tests, complete Admin Vitest, touched ESLint, scoped TypeScript, and audit-registry checks recorded in TASK_LOG.md</x:v>
      </x:c>
      <x:c r="I7" s="10" t="str">
        <x:v>ADM-M-013; ADM-M-019</x:v>
      </x:c>
      <x:c r="J7" s="10" t="str">
        <x:v>ADM-WF-013; ADM-WF-017</x:v>
      </x:c>
      <x:c r="K7" s="10" t="str"/>
      <x:c r="L7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8" ht="46" customHeight="1">
      <x:c r="A8" s="10" t="str">
        <x:v>EVD-SEC104-SITEMAP-COLLAB-COMMIT</x:v>
      </x:c>
      <x:c r="B8" s="10" t="str">
        <x:v>commit</x:v>
      </x:c>
      <x:c r="C8" s="10" t="str">
        <x:v>pass</x:v>
      </x:c>
      <x:c r="D8" s="10" t="str">
        <x:v>local</x:v>
      </x:c>
      <x:c r="E8" s="12" t="n">
        <x:v>46262.3608912037</x:v>
      </x:c>
      <x:c r="F8" s="10" t="str">
        <x:v>Codex</x:v>
      </x:c>
      <x:c r="G8" s="10" t="str">
        <x:v>63ff56bd8a9567b6d34599d9afefa1e21780f950</x:v>
      </x:c>
      <x:c r="H8" s="10" t="str">
        <x:v>git:codex/admin-workflow-completion@63ff56bd8a9567b6d34599d9afefa1e21780f950</x:v>
      </x:c>
      <x:c r="I8" s="10" t="str">
        <x:v>ADM-M-013</x:v>
      </x:c>
      <x:c r="J8" s="10" t="str">
        <x:v>ADM-WF-013; ADM-WF-017</x:v>
      </x:c>
      <x:c r="K8" s="10" t="str"/>
      <x:c r="L8" s="10" t="str">
        <x:v>Immutable SEC-104 checkpoint migrating site-map collaborator reads/removals to active-org capabilities while preserving owner-only removal.</x:v>
      </x:c>
    </x:row>
    <x:row r="9" ht="46" customHeight="1">
      <x:c r="A9" s="10" t="str">
        <x:v>EVD-SEC104-SITEMAP-COLLAB-LOCAL</x:v>
      </x:c>
      <x:c r="B9" s="10" t="str">
        <x:v>test_run</x:v>
      </x:c>
      <x:c r="C9" s="10" t="str">
        <x:v>pass</x:v>
      </x:c>
      <x:c r="D9" s="10" t="str">
        <x:v>local</x:v>
      </x:c>
      <x:c r="E9" s="12" t="n">
        <x:v>46262.3608912037</x:v>
      </x:c>
      <x:c r="F9" s="10" t="str">
        <x:v>Codex</x:v>
      </x:c>
      <x:c r="G9" s="10" t="str">
        <x:v>63ff56bd8a9567b6d34599d9afefa1e21780f950</x:v>
      </x:c>
      <x:c r="H9" s="10" t="str">
        <x:v>Node 20 route registry, collaborator input/source tests, complete Admin Vitest, touched ESLint, scoped TypeScript, and audit-registry checks recorded in TASK_LOG.md</x:v>
      </x:c>
      <x:c r="I9" s="10" t="str">
        <x:v>ADM-M-013</x:v>
      </x:c>
      <x:c r="J9" s="10" t="str">
        <x:v>ADM-WF-013; ADM-WF-017</x:v>
      </x:c>
      <x:c r="K9" s="10" t="str"/>
      <x:c r="L9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10" ht="46" customHeight="1">
      <x:c r="A10" s="10" t="str">
        <x:v>EVD-SEC104-SITEMAP-COMMIT</x:v>
      </x:c>
      <x:c r="B10" s="10" t="str">
        <x:v>commit</x:v>
      </x:c>
      <x:c r="C10" s="10" t="str">
        <x:v>pass</x:v>
      </x:c>
      <x:c r="D10" s="10" t="str">
        <x:v>local</x:v>
      </x:c>
      <x:c r="E10" s="12" t="n">
        <x:v>46262.3490625</x:v>
      </x:c>
      <x:c r="F10" s="10" t="str">
        <x:v>Codex</x:v>
      </x:c>
      <x:c r="G10" s="10" t="str">
        <x:v>c50c597d0c24e745d3601b085a7a1daf1d32ad67</x:v>
      </x:c>
      <x:c r="H10" s="10" t="str">
        <x:v>git:codex/admin-workflow-completion@c50c597d0c24e745d3601b085a7a1daf1d32ad67</x:v>
      </x:c>
      <x:c r="I10" s="10" t="str">
        <x:v>ADM-M-013</x:v>
      </x:c>
      <x:c r="J10" s="10" t="str">
        <x:v>ADM-WF-013; ADM-WF-017</x:v>
      </x:c>
      <x:c r="K10" s="10" t="str"/>
      <x:c r="L10" s="10" t="str">
        <x:v>Immutable SEC-104 checkpoint migrating site-map template, export, and version routes to the trusted logistics.view acting-context boundary and reducing the enforced legacy ceiling to 114.</x:v>
      </x:c>
    </x:row>
    <x:row r="11" ht="46" customHeight="1">
      <x:c r="A11" s="10" t="str">
        <x:v>EVD-SEC104-SITEMAP-ELEMENTS-COMMIT</x:v>
      </x:c>
      <x:c r="B11" s="10" t="str">
        <x:v>commit</x:v>
      </x:c>
      <x:c r="C11" s="10" t="str">
        <x:v>pass</x:v>
      </x:c>
      <x:c r="D11" s="10" t="str">
        <x:v>local</x:v>
      </x:c>
      <x:c r="E11" s="12" t="n">
        <x:v>46268.959027777775</x:v>
      </x:c>
      <x:c r="F11" s="10" t="str">
        <x:v>Codex</x:v>
      </x:c>
      <x:c r="G11" s="10" t="str">
        <x:v>7630a37ef395e147198a169e94fa888d2f3c7b19</x:v>
      </x:c>
      <x:c r="H11" s="10" t="str">
        <x:v>git:codex/admin-workflow-completion@7630a37ef395e147198a169e94fa888d2f3c7b19</x:v>
      </x:c>
      <x:c r="I11" s="10" t="str">
        <x:v>ADM-M-013; ADM-M-019</x:v>
      </x:c>
      <x:c r="J11" s="10" t="str">
        <x:v>ADM-WF-013; ADM-WF-017</x:v>
      </x:c>
      <x:c r="K11" s="10" t="str"/>
      <x:c r="L11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2" ht="46" customHeight="1">
      <x:c r="A12" s="10" t="str">
        <x:v>EVD-SEC104-SITEMAP-ELEMENTS-LOCAL</x:v>
      </x:c>
      <x:c r="B12" s="10" t="str">
        <x:v>test_run</x:v>
      </x:c>
      <x:c r="C12" s="10" t="str">
        <x:v>pass</x:v>
      </x:c>
      <x:c r="D12" s="10" t="str">
        <x:v>local</x:v>
      </x:c>
      <x:c r="E12" s="12" t="n">
        <x:v>46268.959027777775</x:v>
      </x:c>
      <x:c r="F12" s="10" t="str">
        <x:v>Codex</x:v>
      </x:c>
      <x:c r="G12" s="10" t="str">
        <x:v>7630a37ef395e147198a169e94fa888d2f3c7b19</x:v>
      </x:c>
      <x:c r="H12" s="10" t="str">
        <x:v>SEC-104 focused Vitest, complete Admin Vitest, touched ESLint, scoped TypeScript, route registry, migration validation, service-role allowlist, and registry validation recorded in TASK_LOG.md</x:v>
      </x:c>
      <x:c r="I12" s="10" t="str">
        <x:v>ADM-M-013; ADM-M-019</x:v>
      </x:c>
      <x:c r="J12" s="10" t="str">
        <x:v>ADM-WF-013; ADM-WF-017</x:v>
      </x:c>
      <x:c r="K12" s="10" t="str"/>
      <x:c r="L12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13" ht="46" customHeight="1">
      <x:c r="A13" s="10" t="str">
        <x:v>EVD-SEC104-SITEMAP-ELEMENTS-RLS-LOCAL</x:v>
      </x:c>
      <x:c r="B13" s="10" t="str">
        <x:v>rls_matrix</x:v>
      </x:c>
      <x:c r="C13" s="10" t="str">
        <x:v>pass</x:v>
      </x:c>
      <x:c r="D13" s="10" t="str">
        <x:v>local</x:v>
      </x:c>
      <x:c r="E13" s="12" t="n">
        <x:v>46268.959027777775</x:v>
      </x:c>
      <x:c r="F13" s="10" t="str">
        <x:v>Codex</x:v>
      </x:c>
      <x:c r="G13" s="10" t="str">
        <x:v>7630a37ef395e147198a169e94fa888d2f3c7b19</x:v>
      </x:c>
      <x:c r="H13" s="10" t="str">
        <x:v>Disposable PostgreSQL fixture: migration apply plus owner, replay, cross-map collision, forged tenant field, invalid geometry, expired collaborator, rollback, cross-actor read, and cross-actor write assertions</x:v>
      </x:c>
      <x:c r="I13" s="10" t="str">
        <x:v>ADM-M-013; ADM-M-019</x:v>
      </x:c>
      <x:c r="J13" s="10" t="str">
        <x:v>ADM-WF-013; ADM-WF-017</x:v>
      </x:c>
      <x:c r="K13" s="10" t="str"/>
      <x:c r="L13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14" ht="46" customHeight="1">
      <x:c r="A14" s="10" t="str">
        <x:v>EVD-SEC104-SITEMAP-LOCAL</x:v>
      </x:c>
      <x:c r="B14" s="10" t="str">
        <x:v>test_run</x:v>
      </x:c>
      <x:c r="C14" s="10" t="str">
        <x:v>pass</x:v>
      </x:c>
      <x:c r="D14" s="10" t="str">
        <x:v>local</x:v>
      </x:c>
      <x:c r="E14" s="12" t="n">
        <x:v>46262.3490625</x:v>
      </x:c>
      <x:c r="F14" s="10" t="str">
        <x:v>Codex</x:v>
      </x:c>
      <x:c r="G14" s="10" t="str">
        <x:v>c50c597d0c24e745d3601b085a7a1daf1d32ad67</x:v>
      </x:c>
      <x:c r="H14" s="10" t="str">
        <x:v>Node 20 route registry, SEC-104 focused Vitest, complete Admin Vitest, touched ESLint, and scoped TypeScript commands recorded in TASK_LOG.md</x:v>
      </x:c>
      <x:c r="I14" s="10" t="str">
        <x:v>ADM-M-013</x:v>
      </x:c>
      <x:c r="J14" s="10" t="str">
        <x:v>ADM-WF-013; ADM-WF-017</x:v>
      </x:c>
      <x:c r="K14" s="10" t="str"/>
      <x:c r="L14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15" ht="46" customHeight="1">
      <x:c r="A15" s="10" t="str">
        <x:v>EVD-WAVE0-ADMIN-TESTS-LOCAL</x:v>
      </x:c>
      <x:c r="B15" s="10" t="str">
        <x:v>test_run</x:v>
      </x:c>
      <x:c r="C15" s="10" t="str">
        <x:v>pass</x:v>
      </x:c>
      <x:c r="D15" s="10" t="str">
        <x:v>local</x:v>
      </x:c>
      <x:c r="E15" s="12" t="n">
        <x:v>46262.33998842593</x:v>
      </x:c>
      <x:c r="F15" s="10" t="str">
        <x:v>Codex</x:v>
      </x:c>
      <x:c r="G15" s="10" t="str">
        <x:v>8c40df23a4995088cf88ea69bf809035f0c3de28</x:v>
      </x:c>
      <x:c r="H15" s="10" t="str">
        <x:v>/Users/kyledaley/.nvm/versions/node/v20.20.2/bin/node node_modules/vitest/vitest.mjs run __tests__/admin</x:v>
      </x:c>
      <x:c r="I15" s="10" t="str">
        <x:v>AOA-012</x:v>
      </x:c>
      <x:c r="J15" s="10" t="str">
        <x:v>ADM-WF-017</x:v>
      </x:c>
      <x:c r="K15" s="10" t="str"/>
      <x:c r="L15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16" ht="46" customHeight="1">
      <x:c r="A16" s="10" t="str">
        <x:v>EVD-WAVE0-AUDIT-REGISTRY-LOCAL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46262.339895833335</x:v>
      </x:c>
      <x:c r="F16" s="10" t="str">
        <x:v>Codex</x:v>
      </x:c>
      <x:c r="G16" s="10" t="str">
        <x:v>8c40df23a4995088cf88ea69bf809035f0c3de28</x:v>
      </x:c>
      <x:c r="H16" s="10" t="str">
        <x:v>/Users/kyledaley/.nvm/versions/node/v20.20.2/bin/node --import tsx scripts/audit/admin-workflow-registry.ts --check --require-workbook</x:v>
      </x:c>
      <x:c r="I16" s="10" t="str">
        <x:v>AOA-001; AOA-004; AOA-005; AOA-008; AOA-009; AOA-010; AOA-011; AOA-014</x:v>
      </x:c>
      <x:c r="J16" s="10" t="str">
        <x:v>ADM-WF-017</x:v>
      </x:c>
      <x:c r="K16" s="10" t="str"/>
      <x:c r="L16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17" ht="46" customHeight="1">
      <x:c r="A17" s="10" t="str">
        <x:v>EVD-WAVE0-CONTROLS-COMMIT</x:v>
      </x:c>
      <x:c r="B17" s="10" t="str">
        <x:v>commit</x:v>
      </x:c>
      <x:c r="C17" s="10" t="str">
        <x:v>pass</x:v>
      </x:c>
      <x:c r="D17" s="10" t="str">
        <x:v>local</x:v>
      </x:c>
      <x:c r="E17" s="12" t="n">
        <x:v>46262.33961805556</x:v>
      </x:c>
      <x:c r="F17" s="10" t="str">
        <x:v>Codex</x:v>
      </x:c>
      <x:c r="G17" s="10" t="str">
        <x:v>8c40df23a4995088cf88ea69bf809035f0c3de28</x:v>
      </x:c>
      <x:c r="H17" s="10" t="str">
        <x:v>git:codex/admin-workflow-completion@8c40df23a4995088cf88ea69bf809035f0c3de28</x:v>
      </x:c>
      <x:c r="I17" s="10" t="str">
        <x:v>ADM-M-013; AOA-001; AOA-002; AOA-004; AOA-005; AOA-006; AOA-008; AOA-009; AOA-010; AOA-011; AOA-014; AOA-015</x:v>
      </x:c>
      <x:c r="J17" s="10" t="str">
        <x:v>ADM-WF-017</x:v>
      </x:c>
      <x:c r="K17" s="10" t="str"/>
      <x:c r="L17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8" ht="46" customHeight="1">
      <x:c r="A18" s="10" t="str">
        <x:v>EVD-WAVE0-MIGRATIONS-LOCAL</x:v>
      </x:c>
      <x:c r="B18" s="10" t="str">
        <x:v>test_run</x:v>
      </x:c>
      <x:c r="C18" s="10" t="str">
        <x:v>pass</x:v>
      </x:c>
      <x:c r="D18" s="10" t="str">
        <x:v>local</x:v>
      </x:c>
      <x:c r="E18" s="12" t="n">
        <x:v>46262.339895833335</x:v>
      </x:c>
      <x:c r="F18" s="10" t="str">
        <x:v>Codex</x:v>
      </x:c>
      <x:c r="G18" s="10" t="str">
        <x:v>8c40df23a4995088cf88ea69bf809035f0c3de28</x:v>
      </x:c>
      <x:c r="H18" s="10" t="str">
        <x:v>/Users/kyledaley/.nvm/versions/node/v20.20.2/bin/node scripts/ci/check-migration-validation.mjs</x:v>
      </x:c>
      <x:c r="I18" s="10" t="str">
        <x:v>AOA-013; AOA-015</x:v>
      </x:c>
      <x:c r="J18" s="10" t="str">
        <x:v>ADM-WF-017</x:v>
      </x:c>
      <x:c r="K18" s="10" t="str"/>
      <x:c r="L18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9" ht="46" customHeight="1">
      <x:c r="A19" s="10" t="str">
        <x:v>EVD-WAVE0-ROUTE-REGISTRY-LOCAL</x:v>
      </x:c>
      <x:c r="B19" s="10" t="str">
        <x:v>test_run</x:v>
      </x:c>
      <x:c r="C19" s="10" t="str">
        <x:v>pass</x:v>
      </x:c>
      <x:c r="D19" s="10" t="str">
        <x:v>local</x:v>
      </x:c>
      <x:c r="E19" s="12" t="n">
        <x:v>46262.339895833335</x:v>
      </x:c>
      <x:c r="F19" s="10" t="str">
        <x:v>Codex</x:v>
      </x:c>
      <x:c r="G19" s="10" t="str">
        <x:v>8c40df23a4995088cf88ea69bf809035f0c3de28</x:v>
      </x:c>
      <x:c r="H19" s="10" t="str">
        <x:v>/Users/kyledaley/.nvm/versions/node/v20.20.2/bin/node scripts/ci/check-admin-route-registry.mjs</x:v>
      </x:c>
      <x:c r="I19" s="10" t="str">
        <x:v>ADM-M-013</x:v>
      </x:c>
      <x:c r="J19" s="10" t="str">
        <x:v>ADM-WF-017</x:v>
      </x:c>
      <x:c r="K19" s="10" t="str"/>
      <x:c r="L19" s="10" t="str">
        <x:v>Local route inventory passed with 288 Admin API route files and an exact 117/117 legacy ceiling. Runtime capability, tenant-denial, idempotency, and audit-event evidence remain incomplete.</x:v>
      </x:c>
    </x:row>
    <x:row r="20" ht="46" customHeight="1">
      <x:c r="A20" s="10" t="str">
        <x:v>EVD-WAVE0-SERVICE-ROLE-LOCAL</x:v>
      </x:c>
      <x:c r="B20" s="10" t="str">
        <x:v>test_run</x:v>
      </x:c>
      <x:c r="C20" s="10" t="str">
        <x:v>pass</x:v>
      </x:c>
      <x:c r="D20" s="10" t="str">
        <x:v>local</x:v>
      </x:c>
      <x:c r="E20" s="12" t="n">
        <x:v>46262.339895833335</x:v>
      </x:c>
      <x:c r="F20" s="10" t="str">
        <x:v>Codex</x:v>
      </x:c>
      <x:c r="G20" s="10" t="str">
        <x:v>8c40df23a4995088cf88ea69bf809035f0c3de28</x:v>
      </x:c>
      <x:c r="H20" s="10" t="str">
        <x:v>/Users/kyledaley/.nvm/versions/node/v20.20.2/bin/node scripts/ci/check-service-role-allowlist.mjs</x:v>
      </x:c>
      <x:c r="I20" s="10" t="str">
        <x:v>ADM-M-013</x:v>
      </x:c>
      <x:c r="J20" s="10" t="str">
        <x:v>ADM-WF-017; ADM-WF-019</x:v>
      </x:c>
      <x:c r="K20" s="10" t="str"/>
      <x:c r="L20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21" ht="46" customHeight="1">
      <x:c r="A21" s="10" t="str">
        <x:v>EVD-WAVE0-TYPECHECK-LOCAL-FAIL</x:v>
      </x:c>
      <x:c r="B21" s="10" t="str">
        <x:v>test_run</x:v>
      </x:c>
      <x:c r="C21" s="10" t="str">
        <x:v>fail</x:v>
      </x:c>
      <x:c r="D21" s="10" t="str">
        <x:v>local</x:v>
      </x:c>
      <x:c r="E21" s="12" t="n">
        <x:v>46262.33513888889</x:v>
      </x:c>
      <x:c r="F21" s="10" t="str">
        <x:v>Codex</x:v>
      </x:c>
      <x:c r="G21" s="10" t="str">
        <x:v>8c40df23a4995088cf88ea69bf809035f0c3de28</x:v>
      </x:c>
      <x:c r="H21" s="10" t="str">
        <x:v>/Users/kyledaley/.nvm/versions/node/v20.20.2/bin/node --max-old-space-size=8192 node_modules/typescript/bin/tsc --noEmit --pretty false --incremental false --diagnostics</x:v>
      </x:c>
      <x:c r="I21" s="10" t="str">
        <x:v>ADM-M-001; AOA-003</x:v>
      </x:c>
      <x:c r="J21" s="10" t="str">
        <x:v>ADM-WF-017</x:v>
      </x:c>
      <x:c r="K21" s="10" t="str"/>
      <x:c r="L21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21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d141d00dc7a5471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</x:sheetData>
  <x:conditionalFormatting sqref="F2:F1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51561d64af814f8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</x:sheetData>
  <x:conditionalFormatting sqref="B2:B24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804f6eebcd914bad"/>
  </x:tableParts>
</x:worksheet>
</file>